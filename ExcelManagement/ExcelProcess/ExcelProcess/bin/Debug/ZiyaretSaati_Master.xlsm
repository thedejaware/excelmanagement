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Projects\ExcelGitHub\excelmanagement\ExcelManagement\ExcelProcess\ExcelProcess\bin\Debug\"/>
    </mc:Choice>
  </mc:AlternateContent>
  <bookViews>
    <workbookView xWindow="0" yWindow="0" windowWidth="6525" windowHeight="8850" tabRatio="912" activeTab="1"/>
  </bookViews>
  <sheets>
    <sheet name="Parametreler" sheetId="3" r:id="rId1"/>
    <sheet name="Noktalar" sheetId="1" r:id="rId2"/>
    <sheet name="TediyeTahmini" sheetId="11" r:id="rId3"/>
    <sheet name="TahsilatTahmini" sheetId="19" r:id="rId4"/>
    <sheet name="Mesafeler" sheetId="2" r:id="rId5"/>
    <sheet name="SonuçlarÖzet" sheetId="17" r:id="rId6"/>
    <sheet name="SonuçlarDetay" sheetId="16" r:id="rId7"/>
    <sheet name="test1" sheetId="18" r:id="rId8"/>
    <sheet name="Routes" sheetId="13" r:id="rId9"/>
    <sheet name="Savings" sheetId="12" r:id="rId10"/>
    <sheet name="Losses" sheetId="10" r:id="rId11"/>
    <sheet name="Sonuçlar" sheetId="15" r:id="rId12"/>
    <sheet name="Sheet1" sheetId="20" r:id="rId13"/>
  </sheets>
  <definedNames>
    <definedName name="_xlnm._FilterDatabase" localSheetId="4" hidden="1">Mesafeler!$A$1:$E$1</definedName>
    <definedName name="_xlnm._FilterDatabase" localSheetId="9" hidden="1">Savings!$A$1:$C$2501</definedName>
    <definedName name="_xlnm._FilterDatabase" localSheetId="6" hidden="1">SonuçlarDetay!$C$2:$L$52</definedName>
  </definedNames>
  <calcPr calcId="152511"/>
</workbook>
</file>

<file path=xl/calcChain.xml><?xml version="1.0" encoding="utf-8"?>
<calcChain xmlns="http://schemas.openxmlformats.org/spreadsheetml/2006/main">
  <c r="I9" i="17" l="1"/>
  <c r="I8" i="17"/>
  <c r="I7" i="17"/>
  <c r="E2" i="20"/>
  <c r="H2" i="20" s="1"/>
  <c r="E3" i="20"/>
  <c r="H3" i="20" s="1"/>
  <c r="E1" i="20"/>
  <c r="H1" i="20" s="1"/>
  <c r="I20" i="17"/>
  <c r="I18" i="17"/>
  <c r="G2598" i="2"/>
  <c r="AG3" i="19"/>
  <c r="AG4" i="19"/>
  <c r="AG5" i="19"/>
  <c r="AG6" i="19"/>
  <c r="AG7" i="19"/>
  <c r="AG8" i="19"/>
  <c r="AG9" i="19"/>
  <c r="AG10" i="19"/>
  <c r="AG11" i="19"/>
  <c r="AG12" i="19"/>
  <c r="AG13" i="19"/>
  <c r="AG14" i="19"/>
  <c r="AG15" i="19"/>
  <c r="AG16" i="19"/>
  <c r="AG17" i="19"/>
  <c r="AG18" i="19"/>
  <c r="AG19" i="19"/>
  <c r="AG20" i="19"/>
  <c r="AG21" i="19"/>
  <c r="AG22" i="19"/>
  <c r="AG23" i="19"/>
  <c r="AG24" i="19"/>
  <c r="AG25" i="19"/>
  <c r="AG26" i="19"/>
  <c r="AG27" i="19"/>
  <c r="AG28" i="19"/>
  <c r="AG29" i="19"/>
  <c r="AG30" i="19"/>
  <c r="AG31" i="19"/>
  <c r="AG32" i="19"/>
  <c r="AG33" i="19"/>
  <c r="AG34" i="19"/>
  <c r="AG35" i="19"/>
  <c r="AG36" i="19"/>
  <c r="AG37" i="19"/>
  <c r="AG38" i="19"/>
  <c r="AG39" i="19"/>
  <c r="AG40" i="19"/>
  <c r="AG41" i="19"/>
  <c r="AG42" i="19"/>
  <c r="AG43" i="19"/>
  <c r="AG44" i="19"/>
  <c r="AG45" i="19"/>
  <c r="AG46" i="19"/>
  <c r="AG47" i="19"/>
  <c r="AG48" i="19"/>
  <c r="AG49" i="19"/>
  <c r="AG50" i="19"/>
  <c r="AG51" i="19"/>
  <c r="AG2" i="19"/>
  <c r="AG3" i="11"/>
  <c r="AG4" i="11"/>
  <c r="AG5" i="11"/>
  <c r="AG6" i="11"/>
  <c r="AG7" i="11"/>
  <c r="AG8" i="11"/>
  <c r="AG9" i="11"/>
  <c r="AG10" i="11"/>
  <c r="AG11" i="11"/>
  <c r="AG12" i="11"/>
  <c r="AG13" i="11"/>
  <c r="AG14" i="11"/>
  <c r="AG15" i="11"/>
  <c r="AG16" i="11"/>
  <c r="AG17" i="11"/>
  <c r="AG18" i="11"/>
  <c r="AG19" i="11"/>
  <c r="AG20" i="11"/>
  <c r="AG21" i="11"/>
  <c r="AG22" i="11"/>
  <c r="AG23" i="11"/>
  <c r="AG24" i="11"/>
  <c r="AG25" i="11"/>
  <c r="AG26" i="11"/>
  <c r="AG27" i="11"/>
  <c r="AG28" i="11"/>
  <c r="AG29" i="11"/>
  <c r="AG30" i="11"/>
  <c r="AG31" i="11"/>
  <c r="AG32" i="11"/>
  <c r="AG33" i="11"/>
  <c r="AG34" i="11"/>
  <c r="AG35" i="11"/>
  <c r="AG36" i="11"/>
  <c r="AG37" i="11"/>
  <c r="AG38" i="11"/>
  <c r="AG39" i="11"/>
  <c r="AG40" i="11"/>
  <c r="AG41" i="11"/>
  <c r="AG42" i="11"/>
  <c r="AG43" i="11"/>
  <c r="AG44" i="11"/>
  <c r="AG45" i="11"/>
  <c r="AG46" i="11"/>
  <c r="AG47" i="11"/>
  <c r="AG48" i="11"/>
  <c r="AG49" i="11"/>
  <c r="AG50" i="11"/>
  <c r="AG51" i="11"/>
  <c r="AG2" i="11"/>
  <c r="M6" i="18"/>
  <c r="N6" i="18" s="1"/>
  <c r="M5" i="18"/>
  <c r="N5" i="18" s="1"/>
  <c r="M4" i="18"/>
  <c r="N4" i="18" s="1"/>
  <c r="M3" i="18"/>
  <c r="N3" i="18" s="1"/>
  <c r="M2" i="18"/>
  <c r="N2" i="18" s="1"/>
  <c r="M1" i="18"/>
  <c r="N1" i="18" s="1"/>
  <c r="F157" i="2"/>
  <c r="F166" i="2"/>
  <c r="F1488" i="2"/>
  <c r="F1489" i="2"/>
  <c r="F1490" i="2"/>
  <c r="F1491" i="2"/>
  <c r="F1492" i="2"/>
  <c r="F1493" i="2"/>
  <c r="F1494" i="2"/>
  <c r="F1495" i="2"/>
  <c r="F1496" i="2"/>
  <c r="F1497" i="2"/>
  <c r="F1498" i="2"/>
  <c r="F1499" i="2"/>
  <c r="F1500" i="2"/>
  <c r="F1501" i="2"/>
  <c r="F1502" i="2"/>
  <c r="F1503" i="2"/>
  <c r="F1504" i="2"/>
  <c r="F1505" i="2"/>
  <c r="B12" i="3"/>
</calcChain>
</file>

<file path=xl/sharedStrings.xml><?xml version="1.0" encoding="utf-8"?>
<sst xmlns="http://schemas.openxmlformats.org/spreadsheetml/2006/main" count="6208" uniqueCount="217">
  <si>
    <t>ID</t>
  </si>
  <si>
    <t>Kapasitesi</t>
  </si>
  <si>
    <t>Genel Parametreler</t>
  </si>
  <si>
    <t>Değerler</t>
  </si>
  <si>
    <t>Gün 1</t>
  </si>
  <si>
    <t>Gün 2</t>
  </si>
  <si>
    <t>Gün 3</t>
  </si>
  <si>
    <t>Gün 4</t>
  </si>
  <si>
    <t>Gün 5</t>
  </si>
  <si>
    <t>Gün 6</t>
  </si>
  <si>
    <t>Gün 7</t>
  </si>
  <si>
    <t>Başlangıç Para Miktari</t>
  </si>
  <si>
    <t>Çalışma Başlama Saati</t>
  </si>
  <si>
    <t>Çalışma Bitiş Saati</t>
  </si>
  <si>
    <t>İsmi</t>
  </si>
  <si>
    <t xml:space="preserve">İSTANBUL-ADALAR                        </t>
  </si>
  <si>
    <t xml:space="preserve">İSTANBUL-ARNAVUTKÖY                    </t>
  </si>
  <si>
    <t xml:space="preserve">İSTANBUL-ATAŞEHİR                      </t>
  </si>
  <si>
    <t xml:space="preserve">İSTANBUL-AVCILAR                       </t>
  </si>
  <si>
    <t xml:space="preserve">İSTANBUL-BAĞCILAR                      </t>
  </si>
  <si>
    <t xml:space="preserve">İSTANBUL-BAHÇELİEVLER                  </t>
  </si>
  <si>
    <t xml:space="preserve">İSTANBUL-BAKIRKÖY                      </t>
  </si>
  <si>
    <t xml:space="preserve">İSTANBUL-BAŞAKŞEHİR                    </t>
  </si>
  <si>
    <t xml:space="preserve">İSTANBUL-BAYRAMPAŞA                    </t>
  </si>
  <si>
    <t xml:space="preserve">İSTANBUL-BEŞİKTAŞ                      </t>
  </si>
  <si>
    <t xml:space="preserve">İSTANBUL-BEYKOZ                        </t>
  </si>
  <si>
    <t xml:space="preserve">İSTANBUL-BEYLİKDÜZÜ                    </t>
  </si>
  <si>
    <t xml:space="preserve">İSTANBUL-BEYOĞLU                       </t>
  </si>
  <si>
    <t xml:space="preserve">İSTANBUL-BÜYÜKÇEKMECE                  </t>
  </si>
  <si>
    <t xml:space="preserve">İSTANBUL-ÇATALCA                       </t>
  </si>
  <si>
    <t xml:space="preserve">İSTANBUL-ÇEKMEKÖY                      </t>
  </si>
  <si>
    <t xml:space="preserve">İSTANBUL-ESENLER                       </t>
  </si>
  <si>
    <t xml:space="preserve">İSTANBUL-ESENYURT                      </t>
  </si>
  <si>
    <t xml:space="preserve">İSTANBUL-EYÜP                          </t>
  </si>
  <si>
    <t xml:space="preserve">İSTANBUL-FATİH                         </t>
  </si>
  <si>
    <t xml:space="preserve">İSTANBUL-GAZİOSMANPAŞA                 </t>
  </si>
  <si>
    <t xml:space="preserve">İSTANBUL-GÜNGÖREN                      </t>
  </si>
  <si>
    <t xml:space="preserve">İSTANBUL-KADIKÖY                       </t>
  </si>
  <si>
    <t xml:space="preserve">İSTANBUL-KAĞITHANE                     </t>
  </si>
  <si>
    <t xml:space="preserve">İSTANBUL-KARTAL                        </t>
  </si>
  <si>
    <t xml:space="preserve">İSTANBUL-KÜÇÜKÇEKMECE                  </t>
  </si>
  <si>
    <t xml:space="preserve">İSTANBUL-MALTEPE                       </t>
  </si>
  <si>
    <t xml:space="preserve">İSTANBUL-PENDİK                        </t>
  </si>
  <si>
    <t xml:space="preserve">İSTANBUL-SANCAKTEPE                    </t>
  </si>
  <si>
    <t xml:space="preserve">İSTANBUL-SARIYER                       </t>
  </si>
  <si>
    <t xml:space="preserve">İSTANBUL-ŞİLE                          </t>
  </si>
  <si>
    <t xml:space="preserve">İSTANBUL-SİLİVRİ                       </t>
  </si>
  <si>
    <t xml:space="preserve">İSTANBUL-ŞİŞLİ                         </t>
  </si>
  <si>
    <t xml:space="preserve">İSTANBUL-SULTANBEYLİ                   </t>
  </si>
  <si>
    <t xml:space="preserve">İSTANBUL-SULTANGAZİ                    </t>
  </si>
  <si>
    <t xml:space="preserve">İSTANBUL-TUZLA                         </t>
  </si>
  <si>
    <t xml:space="preserve">İSTANBUL-ÜMRANİYE                      </t>
  </si>
  <si>
    <t xml:space="preserve">İSTANBUL-ÜSKÜDAR                       </t>
  </si>
  <si>
    <t xml:space="preserve">İSTANBUL-ZEYTİNBURNU                   </t>
  </si>
  <si>
    <t>Taşıma Maliyeti (TL/Km)</t>
  </si>
  <si>
    <t xml:space="preserve">Taşıma Maliyeti (TL/Durak) </t>
  </si>
  <si>
    <t>Başlangıç ID</t>
  </si>
  <si>
    <t>Başlangıç İsim</t>
  </si>
  <si>
    <t>Bitiş ID</t>
  </si>
  <si>
    <t>Bitiş İsim</t>
  </si>
  <si>
    <t>Mesafe</t>
  </si>
  <si>
    <t>From</t>
  </si>
  <si>
    <t>To</t>
  </si>
  <si>
    <t>Savings</t>
  </si>
  <si>
    <t>ATM</t>
  </si>
  <si>
    <t>ROUTE</t>
  </si>
  <si>
    <t>TV</t>
  </si>
  <si>
    <t>adv</t>
  </si>
  <si>
    <t>cost per visit</t>
  </si>
  <si>
    <t>Gecelik Bulundurma Maliyeti (TL/ 1TL)</t>
  </si>
  <si>
    <t>Araç Ortalama Hızı (km/saat)</t>
  </si>
  <si>
    <t>Gün1</t>
  </si>
  <si>
    <t>Gün2</t>
  </si>
  <si>
    <t>Gün3</t>
  </si>
  <si>
    <t>Gün4</t>
  </si>
  <si>
    <t>Gün5</t>
  </si>
  <si>
    <t>Gün6</t>
  </si>
  <si>
    <t>Gün7</t>
  </si>
  <si>
    <t>Ziyaret Saati</t>
  </si>
  <si>
    <t>Bırakılan Miktar</t>
  </si>
  <si>
    <t>Ziyaret Edilen Araç</t>
  </si>
  <si>
    <t>ATM İsim</t>
  </si>
  <si>
    <t>Önceki Durak</t>
  </si>
  <si>
    <t>Sonraki Durak</t>
  </si>
  <si>
    <t>Araç Sayısı</t>
  </si>
  <si>
    <t>Müşteri Kaybı(Saat)</t>
  </si>
  <si>
    <t>Ziyaret Eden Araç</t>
  </si>
  <si>
    <t>Day</t>
  </si>
  <si>
    <t>Loss</t>
  </si>
  <si>
    <t>AtmID</t>
  </si>
  <si>
    <t>Ziyaret Sırası</t>
  </si>
  <si>
    <t>Atm</t>
  </si>
  <si>
    <t>test1</t>
  </si>
  <si>
    <t>test3</t>
  </si>
  <si>
    <t>ttl</t>
  </si>
  <si>
    <t>atmi</t>
  </si>
  <si>
    <t>d</t>
  </si>
  <si>
    <t>v</t>
  </si>
  <si>
    <t>rnkt</t>
  </si>
  <si>
    <t>test 2</t>
  </si>
  <si>
    <t>Toplam Planlanıcak Gün sayisi</t>
  </si>
  <si>
    <t xml:space="preserve">Toplam Taşıma Maliyeti (TL) </t>
  </si>
  <si>
    <t>Toplam Durak Maliyeti (TL)</t>
  </si>
  <si>
    <t>Kullanilan Araç Sayısı</t>
  </si>
  <si>
    <t>Toplam Maliyet</t>
  </si>
  <si>
    <t>Günlük Araç Başına Ortalama Yol</t>
  </si>
  <si>
    <t xml:space="preserve">Toplam Gecelik Bulundurma Maliyeti </t>
  </si>
  <si>
    <t>Pazartesi</t>
  </si>
  <si>
    <t>Salı</t>
  </si>
  <si>
    <t>Çarşamba</t>
  </si>
  <si>
    <t>Perşembe</t>
  </si>
  <si>
    <t>Cuma</t>
  </si>
  <si>
    <t>Cumartesi</t>
  </si>
  <si>
    <t>Pazar</t>
  </si>
  <si>
    <t>Toplam</t>
  </si>
  <si>
    <t>Özet Sonuçlar</t>
  </si>
  <si>
    <t>Günlük Araç Başına % Kullanim (süre)</t>
  </si>
  <si>
    <t>MERKEZ</t>
  </si>
  <si>
    <t>AYAŞ</t>
  </si>
  <si>
    <t>BEYPAZARI</t>
  </si>
  <si>
    <t>POLATLI</t>
  </si>
  <si>
    <t>KIZILCAHAMAM</t>
  </si>
  <si>
    <t>ŞEREFLİKOÇHİSAR</t>
  </si>
  <si>
    <t>ÇERKEŞ</t>
  </si>
  <si>
    <t>ILGAZ</t>
  </si>
  <si>
    <t>SAMANPAZARI</t>
  </si>
  <si>
    <t>ŞABANÖZÜ</t>
  </si>
  <si>
    <t>ÇAMLIDERE</t>
  </si>
  <si>
    <t>GÜDÜL</t>
  </si>
  <si>
    <t>YENİMAHALLE</t>
  </si>
  <si>
    <t>ELMADAĞ</t>
  </si>
  <si>
    <t>BAHÇELİEVLER</t>
  </si>
  <si>
    <t>SİTELER</t>
  </si>
  <si>
    <t>CEBECİ</t>
  </si>
  <si>
    <t>TOPTANCIHALİ</t>
  </si>
  <si>
    <t>KÜÇÜKESAT</t>
  </si>
  <si>
    <t>DIŞKAPI</t>
  </si>
  <si>
    <t>ULUS</t>
  </si>
  <si>
    <t>MALTEPE</t>
  </si>
  <si>
    <t>KIZILAY</t>
  </si>
  <si>
    <t>TUNALIHİLMİ</t>
  </si>
  <si>
    <t>HAMAMÖNÜ</t>
  </si>
  <si>
    <t>İSKİTLER</t>
  </si>
  <si>
    <t>AYDINLIKEVLER</t>
  </si>
  <si>
    <t>SİNCAN</t>
  </si>
  <si>
    <t>GÖLBAŞI</t>
  </si>
  <si>
    <t>AKAY</t>
  </si>
  <si>
    <t>EMEK</t>
  </si>
  <si>
    <t>ALTINDAĞ</t>
  </si>
  <si>
    <t>MAMAK</t>
  </si>
  <si>
    <t>NECATİBEY</t>
  </si>
  <si>
    <t>ÇANKAYA</t>
  </si>
  <si>
    <t>BEŞEVLER</t>
  </si>
  <si>
    <t>KEÇİÖREN</t>
  </si>
  <si>
    <t>AŞAĞIAYRANCI</t>
  </si>
  <si>
    <t>GÜVENEVLER</t>
  </si>
  <si>
    <t>KARŞIYAKA</t>
  </si>
  <si>
    <t>YUKARIAYRANCI</t>
  </si>
  <si>
    <t>ANITTEPE</t>
  </si>
  <si>
    <t>DİKMEN</t>
  </si>
  <si>
    <t>KOLEJ</t>
  </si>
  <si>
    <t>ETLİK</t>
  </si>
  <si>
    <t>TOPRAKLIK</t>
  </si>
  <si>
    <t>ETİMESGUT</t>
  </si>
  <si>
    <t>GAZİMAHALLES</t>
  </si>
  <si>
    <t>İNCİRLİ</t>
  </si>
  <si>
    <t>ERYAMAN</t>
  </si>
  <si>
    <t>HaftaSonu PGM ye bağlı?</t>
  </si>
  <si>
    <t>0-1</t>
  </si>
  <si>
    <t>1-2</t>
  </si>
  <si>
    <t>2-3</t>
  </si>
  <si>
    <t>3-4</t>
  </si>
  <si>
    <t>23-24</t>
  </si>
  <si>
    <t>Tipi</t>
  </si>
  <si>
    <t>Yaklaşık Ziyaret Zamanı</t>
  </si>
  <si>
    <t>Bağlı Nokta ID</t>
  </si>
  <si>
    <t>Gün 1 Ziyaret Edilebilir?</t>
  </si>
  <si>
    <t>Gün 2 Ziyaret Edilebilir?</t>
  </si>
  <si>
    <t>Gün 3 Ziyaret Edilebilir?</t>
  </si>
  <si>
    <t>Gün 4 Ziyaret Edilebilir?</t>
  </si>
  <si>
    <t>Gün 5 Ziyaret Edilebilir?</t>
  </si>
  <si>
    <t>Gün 6 Ziyaret Edilebilir?</t>
  </si>
  <si>
    <t>Gün 7 Ziyaret Edilebilir?</t>
  </si>
  <si>
    <t>Nokta</t>
  </si>
  <si>
    <t>Nokta İsim</t>
  </si>
  <si>
    <t>Bitiş Miktar</t>
  </si>
  <si>
    <t>Başlangıç Miktar</t>
  </si>
  <si>
    <t>Alınan Miktar</t>
  </si>
  <si>
    <t xml:space="preserve">ATM Ortalama İşlem Süresi (dk) </t>
  </si>
  <si>
    <t xml:space="preserve">Şube Ortalama İşlem Süresi (dk) </t>
  </si>
  <si>
    <t xml:space="preserve">Mevduat Noktası İşlem Süresi (dk) </t>
  </si>
  <si>
    <t>Toplam Planlanicak Nokta sayisi</t>
  </si>
  <si>
    <t>Recycle?</t>
  </si>
  <si>
    <t>Hayır</t>
  </si>
  <si>
    <t>4-5</t>
  </si>
  <si>
    <t>5-6</t>
  </si>
  <si>
    <t>6-7</t>
  </si>
  <si>
    <t>7-8</t>
  </si>
  <si>
    <t>8-9</t>
  </si>
  <si>
    <t>9-10</t>
  </si>
  <si>
    <t>10-11</t>
  </si>
  <si>
    <t>11-12</t>
  </si>
  <si>
    <t>12-13</t>
  </si>
  <si>
    <t>13-14</t>
  </si>
  <si>
    <t>14-15</t>
  </si>
  <si>
    <t>15-16</t>
  </si>
  <si>
    <t>16-17</t>
  </si>
  <si>
    <t>17-18</t>
  </si>
  <si>
    <t>18-19</t>
  </si>
  <si>
    <t>19-20</t>
  </si>
  <si>
    <t>20-21</t>
  </si>
  <si>
    <t>21-22</t>
  </si>
  <si>
    <t>22-23</t>
  </si>
  <si>
    <t>PGM</t>
  </si>
  <si>
    <t>Ziyarette Birakilacak Talep (Gün)</t>
  </si>
  <si>
    <t>Conf 1</t>
  </si>
  <si>
    <t>Conf 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</si>
</sst>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6">
    <numFmt numFmtId="164" formatCode="_(* #,##0.00_);_(* \(#,##0.00\);_(* &quot;-&quot;??_);_(@_)"/>
    <numFmt numFmtId="165" formatCode="[$-F400]h:mm:ss\ AM/PM"/>
    <numFmt numFmtId="166" formatCode="_-* #,##0.0\ _₺_-;\-* #,##0.0\ _₺_-;_-* &quot;-&quot;??\ _₺_-;_-@_-"/>
    <numFmt numFmtId="167" formatCode="0.0%"/>
    <numFmt numFmtId="168" formatCode="_-* #,##0.0\ _₺_-;\-* #,##0.0\ _₺_-;_-* &quot;-&quot;?\ _₺_-;_-@_-"/>
    <numFmt numFmtId="169" formatCode="hh:mm;@"/>
  </numFmts>
  <fonts count="12" x14ac:knownFonts="1">
    <font>
      <sz val="11"/>
      <color theme="1"/>
      <name val="Calibri"/>
      <family val="2"/>
      <charset val="162"/>
      <scheme val="minor"/>
    </font>
    <font>
      <sz val="11"/>
      <color indexed="8"/>
      <name val="Calibri"/>
      <family val="2"/>
    </font>
    <font>
      <sz val="10"/>
      <color indexed="8"/>
      <name val="Arial"/>
      <family val="2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/>
      <name val="Calibri"/>
      <family val="2"/>
      <charset val="162"/>
      <scheme val="minor"/>
    </font>
    <font>
      <b/>
      <i/>
      <sz val="14"/>
      <color theme="1"/>
      <name val="Calibri"/>
      <family val="2"/>
      <scheme val="minor"/>
    </font>
    <font>
      <sz val="14"/>
      <color theme="0"/>
      <name val="Calibri"/>
      <family val="2"/>
      <scheme val="minor"/>
    </font>
    <font>
      <sz val="14"/>
      <color theme="1"/>
      <name val="Calibri"/>
      <family val="2"/>
      <scheme val="minor"/>
    </font>
    <font>
      <b/>
      <i/>
      <sz val="14"/>
      <color rgb="FFFF0000"/>
      <name val="Calibri"/>
      <family val="2"/>
      <scheme val="minor"/>
    </font>
    <font>
      <b/>
      <i/>
      <sz val="14"/>
      <color theme="1" tint="0.249977111117893"/>
      <name val="Calibri"/>
      <family val="2"/>
      <scheme val="minor"/>
    </font>
    <font>
      <b/>
      <sz val="16"/>
      <color rgb="FF0000FF"/>
      <name val="Calibri"/>
      <family val="2"/>
    </font>
  </fonts>
  <fills count="7">
    <fill>
      <patternFill patternType="none"/>
    </fill>
    <fill>
      <patternFill patternType="gray125"/>
    </fill>
    <fill>
      <patternFill patternType="solid">
        <fgColor theme="3" tint="0.39997558519241921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0.499984740745262"/>
        <bgColor indexed="64"/>
      </patternFill>
    </fill>
  </fills>
  <borders count="22">
    <border>
      <left/>
      <right/>
      <top/>
      <bottom/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double">
        <color indexed="64"/>
      </bottom>
      <diagonal/>
    </border>
    <border>
      <left/>
      <right style="thin">
        <color indexed="64"/>
      </right>
      <top/>
      <bottom style="double">
        <color indexed="64"/>
      </bottom>
      <diagonal/>
    </border>
    <border>
      <left style="thin">
        <color indexed="64"/>
      </left>
      <right/>
      <top/>
      <bottom style="double">
        <color indexed="64"/>
      </bottom>
      <diagonal/>
    </border>
    <border>
      <left/>
      <right style="medium">
        <color indexed="64"/>
      </right>
      <top/>
      <bottom/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</borders>
  <cellStyleXfs count="4">
    <xf numFmtId="0" fontId="0" fillId="0" borderId="0"/>
    <xf numFmtId="0" fontId="2" fillId="0" borderId="0"/>
    <xf numFmtId="164" fontId="5" fillId="0" borderId="0" applyFont="0" applyFill="0" applyBorder="0" applyAlignment="0" applyProtection="0"/>
    <xf numFmtId="9" fontId="5" fillId="0" borderId="0" applyFont="0" applyFill="0" applyBorder="0" applyAlignment="0" applyProtection="0"/>
  </cellStyleXfs>
  <cellXfs count="88">
    <xf numFmtId="0" fontId="0" fillId="0" borderId="0" xfId="0"/>
    <xf numFmtId="0" fontId="3" fillId="2" borderId="0" xfId="0" applyFont="1" applyFill="1" applyAlignment="1">
      <alignment wrapText="1"/>
    </xf>
    <xf numFmtId="0" fontId="3" fillId="2" borderId="0" xfId="0" applyFont="1" applyFill="1"/>
    <xf numFmtId="0" fontId="0" fillId="0" borderId="1" xfId="0" applyBorder="1"/>
    <xf numFmtId="0" fontId="3" fillId="2" borderId="6" xfId="0" applyFont="1" applyFill="1" applyBorder="1" applyAlignment="1">
      <alignment wrapText="1"/>
    </xf>
    <xf numFmtId="165" fontId="0" fillId="0" borderId="0" xfId="0" applyNumberFormat="1"/>
    <xf numFmtId="0" fontId="1" fillId="0" borderId="0" xfId="1" applyFont="1" applyFill="1" applyBorder="1" applyAlignment="1">
      <alignment horizontal="right" wrapText="1"/>
    </xf>
    <xf numFmtId="0" fontId="0" fillId="0" borderId="0" xfId="0" applyBorder="1"/>
    <xf numFmtId="0" fontId="4" fillId="0" borderId="0" xfId="0" applyFont="1" applyAlignment="1">
      <alignment horizontal="right"/>
    </xf>
    <xf numFmtId="0" fontId="0" fillId="0" borderId="7" xfId="0" applyBorder="1"/>
    <xf numFmtId="0" fontId="4" fillId="0" borderId="9" xfId="0" applyFont="1" applyBorder="1" applyAlignment="1">
      <alignment horizontal="center" wrapText="1"/>
    </xf>
    <xf numFmtId="0" fontId="4" fillId="0" borderId="8" xfId="0" applyFont="1" applyBorder="1" applyAlignment="1">
      <alignment horizontal="center" wrapText="1"/>
    </xf>
    <xf numFmtId="0" fontId="4" fillId="0" borderId="2" xfId="0" applyFont="1" applyBorder="1" applyAlignment="1">
      <alignment horizontal="center" wrapText="1"/>
    </xf>
    <xf numFmtId="0" fontId="0" fillId="0" borderId="3" xfId="0" applyBorder="1"/>
    <xf numFmtId="0" fontId="0" fillId="0" borderId="4" xfId="0" applyBorder="1"/>
    <xf numFmtId="0" fontId="3" fillId="2" borderId="0" xfId="0" applyFont="1" applyFill="1" applyAlignment="1">
      <alignment horizontal="right" wrapText="1"/>
    </xf>
    <xf numFmtId="0" fontId="0" fillId="0" borderId="13" xfId="0" applyBorder="1"/>
    <xf numFmtId="0" fontId="0" fillId="0" borderId="14" xfId="0" applyBorder="1"/>
    <xf numFmtId="0" fontId="6" fillId="0" borderId="0" xfId="0" applyFont="1"/>
    <xf numFmtId="0" fontId="6" fillId="0" borderId="0" xfId="0" applyFont="1" applyAlignment="1">
      <alignment horizontal="right"/>
    </xf>
    <xf numFmtId="0" fontId="7" fillId="2" borderId="0" xfId="0" applyFont="1" applyFill="1" applyBorder="1"/>
    <xf numFmtId="0" fontId="7" fillId="4" borderId="0" xfId="0" applyFont="1" applyFill="1" applyBorder="1"/>
    <xf numFmtId="0" fontId="8" fillId="3" borderId="0" xfId="0" applyFont="1" applyFill="1" applyBorder="1"/>
    <xf numFmtId="0" fontId="8" fillId="5" borderId="0" xfId="0" applyFont="1" applyFill="1" applyBorder="1"/>
    <xf numFmtId="21" fontId="8" fillId="3" borderId="0" xfId="0" applyNumberFormat="1" applyFont="1" applyFill="1" applyBorder="1"/>
    <xf numFmtId="21" fontId="8" fillId="5" borderId="0" xfId="0" applyNumberFormat="1" applyFont="1" applyFill="1" applyBorder="1"/>
    <xf numFmtId="1" fontId="8" fillId="3" borderId="0" xfId="0" applyNumberFormat="1" applyFont="1" applyFill="1" applyBorder="1"/>
    <xf numFmtId="0" fontId="7" fillId="2" borderId="1" xfId="0" applyFont="1" applyFill="1" applyBorder="1"/>
    <xf numFmtId="0" fontId="7" fillId="4" borderId="1" xfId="0" applyFont="1" applyFill="1" applyBorder="1"/>
    <xf numFmtId="0" fontId="6" fillId="0" borderId="15" xfId="0" applyFont="1" applyBorder="1" applyAlignment="1">
      <alignment horizontal="center"/>
    </xf>
    <xf numFmtId="0" fontId="10" fillId="0" borderId="15" xfId="0" applyFont="1" applyBorder="1" applyAlignment="1">
      <alignment horizontal="center"/>
    </xf>
    <xf numFmtId="0" fontId="9" fillId="0" borderId="15" xfId="0" applyFont="1" applyBorder="1" applyAlignment="1">
      <alignment horizontal="center"/>
    </xf>
    <xf numFmtId="0" fontId="6" fillId="0" borderId="16" xfId="0" applyFont="1" applyBorder="1"/>
    <xf numFmtId="0" fontId="6" fillId="0" borderId="17" xfId="0" applyFont="1" applyBorder="1" applyAlignment="1">
      <alignment horizontal="center"/>
    </xf>
    <xf numFmtId="0" fontId="10" fillId="0" borderId="16" xfId="0" applyFont="1" applyBorder="1" applyAlignment="1">
      <alignment horizontal="center"/>
    </xf>
    <xf numFmtId="166" fontId="8" fillId="3" borderId="0" xfId="2" applyNumberFormat="1" applyFont="1" applyFill="1" applyBorder="1" applyAlignment="1">
      <alignment horizontal="right" vertical="center"/>
    </xf>
    <xf numFmtId="166" fontId="8" fillId="3" borderId="7" xfId="2" applyNumberFormat="1" applyFont="1" applyFill="1" applyBorder="1" applyAlignment="1">
      <alignment horizontal="right" vertical="center"/>
    </xf>
    <xf numFmtId="166" fontId="8" fillId="3" borderId="4" xfId="2" applyNumberFormat="1" applyFont="1" applyFill="1" applyBorder="1" applyAlignment="1">
      <alignment horizontal="right" vertical="center"/>
    </xf>
    <xf numFmtId="166" fontId="8" fillId="5" borderId="0" xfId="2" applyNumberFormat="1" applyFont="1" applyFill="1" applyBorder="1" applyAlignment="1">
      <alignment horizontal="right" vertical="center"/>
    </xf>
    <xf numFmtId="166" fontId="8" fillId="5" borderId="7" xfId="2" applyNumberFormat="1" applyFont="1" applyFill="1" applyBorder="1" applyAlignment="1">
      <alignment horizontal="right" vertical="center"/>
    </xf>
    <xf numFmtId="166" fontId="8" fillId="5" borderId="4" xfId="2" applyNumberFormat="1" applyFont="1" applyFill="1" applyBorder="1" applyAlignment="1">
      <alignment horizontal="right" vertical="center"/>
    </xf>
    <xf numFmtId="0" fontId="3" fillId="4" borderId="6" xfId="0" applyFont="1" applyFill="1" applyBorder="1" applyAlignment="1">
      <alignment wrapText="1"/>
    </xf>
    <xf numFmtId="0" fontId="3" fillId="4" borderId="0" xfId="0" applyFont="1" applyFill="1" applyAlignment="1">
      <alignment wrapText="1"/>
    </xf>
    <xf numFmtId="0" fontId="3" fillId="6" borderId="0" xfId="0" applyFont="1" applyFill="1"/>
    <xf numFmtId="19" fontId="0" fillId="0" borderId="0" xfId="0" applyNumberFormat="1" applyBorder="1"/>
    <xf numFmtId="0" fontId="0" fillId="0" borderId="18" xfId="0" applyBorder="1"/>
    <xf numFmtId="0" fontId="0" fillId="0" borderId="19" xfId="0" applyBorder="1"/>
    <xf numFmtId="19" fontId="0" fillId="0" borderId="19" xfId="0" applyNumberFormat="1" applyBorder="1"/>
    <xf numFmtId="0" fontId="0" fillId="0" borderId="20" xfId="0" applyBorder="1"/>
    <xf numFmtId="0" fontId="4" fillId="0" borderId="14" xfId="0" applyFont="1" applyBorder="1" applyAlignment="1">
      <alignment horizontal="center" wrapText="1"/>
    </xf>
    <xf numFmtId="0" fontId="4" fillId="0" borderId="19" xfId="0" applyFont="1" applyBorder="1" applyAlignment="1">
      <alignment horizontal="center" wrapText="1"/>
    </xf>
    <xf numFmtId="0" fontId="4" fillId="0" borderId="21" xfId="0" applyFont="1" applyBorder="1" applyAlignment="1">
      <alignment horizontal="center" wrapText="1"/>
    </xf>
    <xf numFmtId="0" fontId="0" fillId="0" borderId="21" xfId="0" applyBorder="1"/>
    <xf numFmtId="168" fontId="0" fillId="0" borderId="0" xfId="0" applyNumberFormat="1"/>
    <xf numFmtId="9" fontId="0" fillId="0" borderId="0" xfId="0" applyNumberFormat="1"/>
    <xf numFmtId="169" fontId="0" fillId="0" borderId="0" xfId="0" applyNumberFormat="1"/>
    <xf numFmtId="0" fontId="3" fillId="4" borderId="0" xfId="0" applyFont="1" applyFill="1" applyBorder="1" applyAlignment="1">
      <alignment horizontal="right" wrapText="1"/>
    </xf>
    <xf numFmtId="0" fontId="3" fillId="4" borderId="0" xfId="0" quotePrefix="1" applyFont="1" applyFill="1" applyBorder="1" applyAlignment="1">
      <alignment horizontal="right" wrapText="1"/>
    </xf>
    <xf numFmtId="1" fontId="4" fillId="0" borderId="19" xfId="0" applyNumberFormat="1" applyFont="1" applyBorder="1" applyAlignment="1">
      <alignment horizontal="center" wrapText="1"/>
    </xf>
    <xf numFmtId="1" fontId="0" fillId="0" borderId="0" xfId="0" applyNumberFormat="1" applyBorder="1"/>
    <xf numFmtId="1" fontId="0" fillId="0" borderId="19" xfId="0" applyNumberFormat="1" applyBorder="1"/>
    <xf numFmtId="1" fontId="0" fillId="0" borderId="0" xfId="0" applyNumberFormat="1"/>
    <xf numFmtId="1" fontId="4" fillId="0" borderId="14" xfId="0" applyNumberFormat="1" applyFont="1" applyBorder="1" applyAlignment="1">
      <alignment horizontal="center" wrapText="1"/>
    </xf>
    <xf numFmtId="0" fontId="7" fillId="2" borderId="2" xfId="0" applyFont="1" applyFill="1" applyBorder="1"/>
    <xf numFmtId="167" fontId="8" fillId="3" borderId="8" xfId="3" applyNumberFormat="1" applyFont="1" applyFill="1" applyBorder="1" applyAlignment="1">
      <alignment horizontal="center" vertical="center"/>
    </xf>
    <xf numFmtId="167" fontId="8" fillId="3" borderId="9" xfId="3" applyNumberFormat="1" applyFont="1" applyFill="1" applyBorder="1" applyAlignment="1">
      <alignment horizontal="center" vertical="center"/>
    </xf>
    <xf numFmtId="167" fontId="8" fillId="3" borderId="5" xfId="3" applyNumberFormat="1" applyFont="1" applyFill="1" applyBorder="1" applyAlignment="1">
      <alignment horizontal="center" vertical="center"/>
    </xf>
    <xf numFmtId="167" fontId="8" fillId="3" borderId="9" xfId="0" applyNumberFormat="1" applyFont="1" applyFill="1" applyBorder="1" applyAlignment="1">
      <alignment horizontal="center"/>
    </xf>
    <xf numFmtId="166" fontId="8" fillId="5" borderId="7" xfId="0" applyNumberFormat="1" applyFont="1" applyFill="1" applyBorder="1"/>
    <xf numFmtId="0" fontId="3" fillId="2" borderId="6" xfId="0" applyFont="1" applyFill="1" applyBorder="1" applyAlignment="1">
      <alignment horizontal="center" wrapText="1"/>
    </xf>
    <xf numFmtId="16" fontId="3" fillId="4" borderId="0" xfId="0" quotePrefix="1" applyNumberFormat="1" applyFont="1" applyFill="1" applyBorder="1" applyAlignment="1">
      <alignment horizontal="right" wrapText="1"/>
    </xf>
    <xf numFmtId="9" fontId="0" fillId="0" borderId="0" xfId="3" applyFont="1"/>
    <xf numFmtId="0" fontId="4" fillId="0" borderId="20" xfId="0" applyFont="1" applyBorder="1" applyAlignment="1">
      <alignment horizontal="center" wrapText="1"/>
    </xf>
    <xf numFmtId="21" fontId="0" fillId="0" borderId="0" xfId="0" applyNumberFormat="1"/>
    <xf numFmtId="2" fontId="0" fillId="0" borderId="0" xfId="0" applyNumberFormat="1"/>
    <xf numFmtId="0" fontId="4" fillId="0" borderId="0" xfId="0" applyFont="1" applyBorder="1" applyAlignment="1">
      <alignment horizontal="right"/>
    </xf>
    <xf numFmtId="0" fontId="4" fillId="0" borderId="8" xfId="0" applyFont="1" applyBorder="1" applyAlignment="1">
      <alignment horizontal="right"/>
    </xf>
    <xf numFmtId="0" fontId="4" fillId="0" borderId="7" xfId="0" applyFont="1" applyBorder="1" applyAlignment="1">
      <alignment horizontal="center"/>
    </xf>
    <xf numFmtId="0" fontId="4" fillId="0" borderId="9" xfId="0" applyFont="1" applyBorder="1" applyAlignment="1">
      <alignment horizontal="center"/>
    </xf>
    <xf numFmtId="0" fontId="4" fillId="0" borderId="11" xfId="0" applyFont="1" applyBorder="1" applyAlignment="1">
      <alignment horizontal="center"/>
    </xf>
    <xf numFmtId="0" fontId="4" fillId="0" borderId="12" xfId="0" applyFont="1" applyBorder="1" applyAlignment="1">
      <alignment horizontal="center"/>
    </xf>
    <xf numFmtId="0" fontId="4" fillId="0" borderId="10" xfId="0" applyFont="1" applyBorder="1" applyAlignment="1">
      <alignment horizontal="center"/>
    </xf>
    <xf numFmtId="0" fontId="4" fillId="0" borderId="8" xfId="0" applyFont="1" applyBorder="1" applyAlignment="1">
      <alignment horizontal="center"/>
    </xf>
    <xf numFmtId="0" fontId="4" fillId="0" borderId="2" xfId="0" applyFont="1" applyBorder="1" applyAlignment="1">
      <alignment horizontal="center"/>
    </xf>
    <xf numFmtId="0" fontId="4" fillId="0" borderId="4" xfId="0" applyFont="1" applyBorder="1" applyAlignment="1">
      <alignment horizontal="center"/>
    </xf>
    <xf numFmtId="0" fontId="4" fillId="0" borderId="5" xfId="0" applyFont="1" applyBorder="1" applyAlignment="1">
      <alignment horizontal="center"/>
    </xf>
    <xf numFmtId="0" fontId="3" fillId="4" borderId="6" xfId="0" applyNumberFormat="1" applyFont="1" applyFill="1" applyBorder="1" applyAlignment="1">
      <alignment wrapText="1"/>
    </xf>
    <xf numFmtId="0" fontId="0" fillId="0" borderId="0" xfId="0" applyNumberFormat="1"/>
  </cellXfs>
  <cellStyles count="4">
    <cellStyle name="Comma" xfId="2" builtinId="3"/>
    <cellStyle name="Normal" xfId="0" builtinId="0"/>
    <cellStyle name="Normal_Sheet1" xfId="1"/>
    <cellStyle name="Percent" xfId="3" builtinId="5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400050</xdr:colOff>
          <xdr:row>10</xdr:row>
          <xdr:rowOff>66675</xdr:rowOff>
        </xdr:from>
        <xdr:to>
          <xdr:col>9</xdr:col>
          <xdr:colOff>400050</xdr:colOff>
          <xdr:row>14</xdr:row>
          <xdr:rowOff>76200</xdr:rowOff>
        </xdr:to>
        <xdr:sp macro="" textlink="">
          <xdr:nvSpPr>
            <xdr:cNvPr id="5123" name="Button 3" hidden="1">
              <a:extLst>
                <a:ext uri="{63B3BB69-23CF-44E3-9099-C40C66FF867C}">
                  <a14:compatExt spid="_x0000_s512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600" b="1" i="0" u="none" strike="noStrike" baseline="0">
                  <a:solidFill>
                    <a:srgbClr val="0000FF"/>
                  </a:solidFill>
                  <a:latin typeface="Calibri"/>
                </a:rPr>
                <a:t>Raporları Temizle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419100</xdr:colOff>
          <xdr:row>0</xdr:row>
          <xdr:rowOff>95250</xdr:rowOff>
        </xdr:from>
        <xdr:to>
          <xdr:col>9</xdr:col>
          <xdr:colOff>419100</xdr:colOff>
          <xdr:row>4</xdr:row>
          <xdr:rowOff>0</xdr:rowOff>
        </xdr:to>
        <xdr:sp macro="" textlink="">
          <xdr:nvSpPr>
            <xdr:cNvPr id="5124" name="Button 4" hidden="1">
              <a:extLst>
                <a:ext uri="{63B3BB69-23CF-44E3-9099-C40C66FF867C}">
                  <a14:compatExt spid="_x0000_s512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600" b="1" i="0" u="none" strike="noStrike" baseline="0">
                  <a:solidFill>
                    <a:srgbClr val="0000FF"/>
                  </a:solidFill>
                  <a:latin typeface="Calibri"/>
                </a:rPr>
                <a:t>Eksik Mesafeleri Hesapla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180975</xdr:colOff>
          <xdr:row>5</xdr:row>
          <xdr:rowOff>57150</xdr:rowOff>
        </xdr:from>
        <xdr:to>
          <xdr:col>12</xdr:col>
          <xdr:colOff>180975</xdr:colOff>
          <xdr:row>8</xdr:row>
          <xdr:rowOff>219075</xdr:rowOff>
        </xdr:to>
        <xdr:sp macro="" textlink="">
          <xdr:nvSpPr>
            <xdr:cNvPr id="5125" name="Button 5" hidden="1">
              <a:extLst>
                <a:ext uri="{63B3BB69-23CF-44E3-9099-C40C66FF867C}">
                  <a14:compatExt spid="_x0000_s51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600" b="1" i="0" u="none" strike="noStrike" baseline="0">
                  <a:solidFill>
                    <a:srgbClr val="0000FF"/>
                  </a:solidFill>
                  <a:latin typeface="Calibri"/>
                </a:rPr>
                <a:t>Yeni Senaryo Oluştur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28575</xdr:colOff>
          <xdr:row>5</xdr:row>
          <xdr:rowOff>76200</xdr:rowOff>
        </xdr:from>
        <xdr:to>
          <xdr:col>7</xdr:col>
          <xdr:colOff>28575</xdr:colOff>
          <xdr:row>9</xdr:row>
          <xdr:rowOff>0</xdr:rowOff>
        </xdr:to>
        <xdr:sp macro="" textlink="">
          <xdr:nvSpPr>
            <xdr:cNvPr id="5126" name="Button 6" hidden="1">
              <a:extLst>
                <a:ext uri="{63B3BB69-23CF-44E3-9099-C40C66FF867C}">
                  <a14:compatExt spid="_x0000_s51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600" b="1" i="0" u="none" strike="noStrike" baseline="0">
                  <a:solidFill>
                    <a:srgbClr val="0000FF"/>
                  </a:solidFill>
                  <a:latin typeface="Calibri"/>
                </a:rPr>
                <a:t>Optimizasyonu Çalıştır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B16"/>
  <sheetViews>
    <sheetView showGridLines="0" workbookViewId="0">
      <selection activeCell="A18" sqref="A18"/>
    </sheetView>
  </sheetViews>
  <sheetFormatPr defaultRowHeight="15" x14ac:dyDescent="0.25"/>
  <cols>
    <col min="1" max="1" width="47.28515625" bestFit="1" customWidth="1"/>
    <col min="2" max="2" width="16.5703125" customWidth="1"/>
  </cols>
  <sheetData>
    <row r="1" spans="1:2" ht="18.75" x14ac:dyDescent="0.3">
      <c r="A1" s="18" t="s">
        <v>2</v>
      </c>
      <c r="B1" s="19" t="s">
        <v>3</v>
      </c>
    </row>
    <row r="2" spans="1:2" ht="18.75" x14ac:dyDescent="0.3">
      <c r="A2" s="20" t="s">
        <v>55</v>
      </c>
      <c r="B2" s="22">
        <v>65.489999999999995</v>
      </c>
    </row>
    <row r="3" spans="1:2" ht="18.75" x14ac:dyDescent="0.3">
      <c r="A3" s="21" t="s">
        <v>54</v>
      </c>
      <c r="B3" s="23">
        <v>0.35</v>
      </c>
    </row>
    <row r="4" spans="1:2" ht="18.75" x14ac:dyDescent="0.3">
      <c r="A4" s="20" t="s">
        <v>69</v>
      </c>
      <c r="B4" s="22">
        <v>2.32E-4</v>
      </c>
    </row>
    <row r="5" spans="1:2" ht="18.75" x14ac:dyDescent="0.3">
      <c r="A5" s="21" t="s">
        <v>70</v>
      </c>
      <c r="B5" s="23">
        <v>45</v>
      </c>
    </row>
    <row r="6" spans="1:2" ht="18.75" x14ac:dyDescent="0.3">
      <c r="A6" s="20" t="s">
        <v>188</v>
      </c>
      <c r="B6" s="26">
        <v>15</v>
      </c>
    </row>
    <row r="7" spans="1:2" ht="18.75" x14ac:dyDescent="0.3">
      <c r="A7" s="21" t="s">
        <v>189</v>
      </c>
      <c r="B7" s="23">
        <v>5</v>
      </c>
    </row>
    <row r="8" spans="1:2" ht="18.75" x14ac:dyDescent="0.3">
      <c r="A8" s="20" t="s">
        <v>190</v>
      </c>
      <c r="B8" s="26">
        <v>5</v>
      </c>
    </row>
    <row r="9" spans="1:2" ht="18.75" x14ac:dyDescent="0.3">
      <c r="A9" s="21" t="s">
        <v>84</v>
      </c>
      <c r="B9" s="23">
        <v>3</v>
      </c>
    </row>
    <row r="10" spans="1:2" ht="18.75" x14ac:dyDescent="0.3">
      <c r="A10" s="20" t="s">
        <v>12</v>
      </c>
      <c r="B10" s="24">
        <v>0.45833333333333331</v>
      </c>
    </row>
    <row r="11" spans="1:2" ht="18.75" x14ac:dyDescent="0.3">
      <c r="A11" s="21" t="s">
        <v>13</v>
      </c>
      <c r="B11" s="25">
        <v>0.91666666666666663</v>
      </c>
    </row>
    <row r="12" spans="1:2" ht="18.75" x14ac:dyDescent="0.3">
      <c r="A12" s="20" t="s">
        <v>191</v>
      </c>
      <c r="B12" s="26">
        <f>COUNT(Noktalar!E:E)</f>
        <v>50</v>
      </c>
    </row>
    <row r="13" spans="1:2" ht="18.75" x14ac:dyDescent="0.3">
      <c r="A13" s="21" t="s">
        <v>100</v>
      </c>
      <c r="B13" s="23">
        <v>7</v>
      </c>
    </row>
    <row r="16" spans="1:2" x14ac:dyDescent="0.25">
      <c r="B16" s="73"/>
    </row>
  </sheetData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3" r:id="rId4" name="Button 3">
              <controlPr defaultSize="0" print="0" autoFill="0" autoPict="0" macro="[0]!temizle">
                <anchor moveWithCells="1" sizeWithCells="1">
                  <from>
                    <xdr:col>5</xdr:col>
                    <xdr:colOff>400050</xdr:colOff>
                    <xdr:row>10</xdr:row>
                    <xdr:rowOff>66675</xdr:rowOff>
                  </from>
                  <to>
                    <xdr:col>9</xdr:col>
                    <xdr:colOff>400050</xdr:colOff>
                    <xdr:row>14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4" r:id="rId5" name="Button 4">
              <controlPr defaultSize="0" print="0" autoFill="0" autoPict="0" macro="[0]!xxxxxxxx">
                <anchor moveWithCells="1" sizeWithCells="1">
                  <from>
                    <xdr:col>5</xdr:col>
                    <xdr:colOff>419100</xdr:colOff>
                    <xdr:row>0</xdr:row>
                    <xdr:rowOff>95250</xdr:rowOff>
                  </from>
                  <to>
                    <xdr:col>9</xdr:col>
                    <xdr:colOff>419100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5" r:id="rId6" name="Button 5">
              <controlPr defaultSize="0" print="0" autoFill="0" autoPict="0" macro="[0]!xxxxxxxx">
                <anchor moveWithCells="1" sizeWithCells="1">
                  <from>
                    <xdr:col>8</xdr:col>
                    <xdr:colOff>180975</xdr:colOff>
                    <xdr:row>5</xdr:row>
                    <xdr:rowOff>57150</xdr:rowOff>
                  </from>
                  <to>
                    <xdr:col>12</xdr:col>
                    <xdr:colOff>180975</xdr:colOff>
                    <xdr:row>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6" r:id="rId7" name="Button 6">
              <controlPr defaultSize="0" print="0" autoFill="0" autoPict="0" macro="[0]!testwithoutinsert2">
                <anchor moveWithCells="1" sizeWithCells="1">
                  <from>
                    <xdr:col>3</xdr:col>
                    <xdr:colOff>28575</xdr:colOff>
                    <xdr:row>5</xdr:row>
                    <xdr:rowOff>76200</xdr:rowOff>
                  </from>
                  <to>
                    <xdr:col>7</xdr:col>
                    <xdr:colOff>28575</xdr:colOff>
                    <xdr:row>9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AG51"/>
  <sheetViews>
    <sheetView showGridLines="0" tabSelected="1" workbookViewId="0">
      <selection activeCell="K1" sqref="K1:K1048576"/>
    </sheetView>
  </sheetViews>
  <sheetFormatPr defaultRowHeight="15" x14ac:dyDescent="0.25"/>
  <cols>
    <col min="1" max="1" width="11.5703125" customWidth="1"/>
    <col min="2" max="2" width="22.7109375" customWidth="1"/>
    <col min="3" max="3" width="12.140625" customWidth="1"/>
    <col min="4" max="4" width="9.7109375" customWidth="1"/>
    <col min="5" max="5" width="12.5703125" customWidth="1"/>
    <col min="6" max="6" width="11.5703125" customWidth="1"/>
    <col min="7" max="8" width="9.7109375" customWidth="1"/>
    <col min="9" max="9" width="11.42578125" customWidth="1"/>
    <col min="10" max="10" width="9.7109375" customWidth="1"/>
    <col min="11" max="11" width="10.5703125" style="87" customWidth="1"/>
    <col min="12" max="17" width="10.5703125" customWidth="1"/>
  </cols>
  <sheetData>
    <row r="1" spans="1:33" ht="45" customHeight="1" x14ac:dyDescent="0.25">
      <c r="A1" s="4" t="s">
        <v>0</v>
      </c>
      <c r="B1" s="4" t="s">
        <v>14</v>
      </c>
      <c r="C1" s="4" t="s">
        <v>173</v>
      </c>
      <c r="D1" s="4" t="s">
        <v>1</v>
      </c>
      <c r="E1" s="69" t="s">
        <v>11</v>
      </c>
      <c r="F1" s="69" t="s">
        <v>214</v>
      </c>
      <c r="G1" s="69" t="s">
        <v>192</v>
      </c>
      <c r="H1" s="69" t="s">
        <v>175</v>
      </c>
      <c r="I1" s="69" t="s">
        <v>167</v>
      </c>
      <c r="J1" s="4" t="s">
        <v>174</v>
      </c>
      <c r="K1" s="86" t="s">
        <v>176</v>
      </c>
      <c r="L1" s="41" t="s">
        <v>177</v>
      </c>
      <c r="M1" s="41" t="s">
        <v>178</v>
      </c>
      <c r="N1" s="41" t="s">
        <v>179</v>
      </c>
      <c r="O1" s="41" t="s">
        <v>180</v>
      </c>
      <c r="P1" s="41" t="s">
        <v>181</v>
      </c>
      <c r="Q1" s="41" t="s">
        <v>182</v>
      </c>
    </row>
    <row r="2" spans="1:33" x14ac:dyDescent="0.25">
      <c r="A2">
        <v>1</v>
      </c>
      <c r="B2" t="s">
        <v>117</v>
      </c>
      <c r="C2" t="s">
        <v>64</v>
      </c>
      <c r="D2">
        <v>30000</v>
      </c>
      <c r="E2">
        <v>5000</v>
      </c>
      <c r="F2">
        <v>0</v>
      </c>
      <c r="G2">
        <v>0</v>
      </c>
      <c r="H2">
        <v>0</v>
      </c>
      <c r="I2" t="s">
        <v>193</v>
      </c>
      <c r="J2" s="55">
        <v>0.41666666666666669</v>
      </c>
      <c r="K2" s="87">
        <v>1</v>
      </c>
      <c r="L2">
        <v>1</v>
      </c>
      <c r="M2">
        <v>1</v>
      </c>
      <c r="N2">
        <v>1</v>
      </c>
      <c r="O2">
        <v>1</v>
      </c>
      <c r="P2">
        <v>1</v>
      </c>
      <c r="Q2">
        <v>1</v>
      </c>
      <c r="S2" s="74"/>
      <c r="AD2">
        <v>0.21999999999999997</v>
      </c>
      <c r="AE2">
        <v>10</v>
      </c>
      <c r="AF2">
        <v>0.21000000000000002</v>
      </c>
      <c r="AG2">
        <v>10</v>
      </c>
    </row>
    <row r="3" spans="1:33" x14ac:dyDescent="0.25">
      <c r="A3">
        <v>3</v>
      </c>
      <c r="B3" t="s">
        <v>118</v>
      </c>
      <c r="C3" t="s">
        <v>64</v>
      </c>
      <c r="D3">
        <v>20000</v>
      </c>
      <c r="E3">
        <v>2500</v>
      </c>
      <c r="F3">
        <v>0</v>
      </c>
      <c r="G3">
        <v>0</v>
      </c>
      <c r="H3">
        <v>0</v>
      </c>
      <c r="I3" t="s">
        <v>193</v>
      </c>
      <c r="J3" s="55">
        <v>0.41666666666666669</v>
      </c>
      <c r="K3" s="87">
        <v>1</v>
      </c>
      <c r="L3">
        <v>1</v>
      </c>
      <c r="M3">
        <v>1</v>
      </c>
      <c r="N3">
        <v>1</v>
      </c>
      <c r="O3">
        <v>1</v>
      </c>
      <c r="P3">
        <v>1</v>
      </c>
      <c r="Q3">
        <v>1</v>
      </c>
      <c r="S3" s="74"/>
      <c r="AD3">
        <v>0.21999999999999997</v>
      </c>
      <c r="AE3">
        <v>10</v>
      </c>
      <c r="AF3">
        <v>0.21000000000000002</v>
      </c>
      <c r="AG3">
        <v>10</v>
      </c>
    </row>
    <row r="4" spans="1:33" x14ac:dyDescent="0.25">
      <c r="A4">
        <v>5</v>
      </c>
      <c r="B4" t="s">
        <v>119</v>
      </c>
      <c r="C4" t="s">
        <v>64</v>
      </c>
      <c r="D4">
        <v>30000</v>
      </c>
      <c r="E4">
        <v>3000</v>
      </c>
      <c r="F4">
        <v>0</v>
      </c>
      <c r="G4">
        <v>0</v>
      </c>
      <c r="H4">
        <v>0</v>
      </c>
      <c r="I4" t="s">
        <v>193</v>
      </c>
      <c r="J4" s="55">
        <v>0.41666666666666702</v>
      </c>
      <c r="K4" s="87">
        <v>1</v>
      </c>
      <c r="L4">
        <v>1</v>
      </c>
      <c r="M4">
        <v>1</v>
      </c>
      <c r="N4">
        <v>1</v>
      </c>
      <c r="O4">
        <v>1</v>
      </c>
      <c r="P4">
        <v>1</v>
      </c>
      <c r="Q4">
        <v>1</v>
      </c>
      <c r="S4" s="74"/>
      <c r="AD4">
        <v>0.21999999999999997</v>
      </c>
      <c r="AE4">
        <v>10.000000000000009</v>
      </c>
      <c r="AF4">
        <v>0.21000000000000002</v>
      </c>
      <c r="AG4">
        <v>10.000000000000009</v>
      </c>
    </row>
    <row r="5" spans="1:33" x14ac:dyDescent="0.25">
      <c r="A5">
        <v>11</v>
      </c>
      <c r="B5" t="s">
        <v>120</v>
      </c>
      <c r="C5" t="s">
        <v>64</v>
      </c>
      <c r="D5">
        <v>45000</v>
      </c>
      <c r="E5">
        <v>1200</v>
      </c>
      <c r="F5">
        <v>0</v>
      </c>
      <c r="G5">
        <v>0</v>
      </c>
      <c r="H5">
        <v>0</v>
      </c>
      <c r="I5" t="s">
        <v>193</v>
      </c>
      <c r="J5" s="55">
        <v>0.41666666666666702</v>
      </c>
      <c r="K5" s="87">
        <v>1</v>
      </c>
      <c r="L5">
        <v>1</v>
      </c>
      <c r="M5">
        <v>1</v>
      </c>
      <c r="N5">
        <v>1</v>
      </c>
      <c r="O5">
        <v>1</v>
      </c>
      <c r="P5">
        <v>1</v>
      </c>
      <c r="Q5">
        <v>1</v>
      </c>
      <c r="AD5">
        <v>0.21999999999999997</v>
      </c>
      <c r="AE5">
        <v>10.000000000000009</v>
      </c>
      <c r="AF5">
        <v>0.21000000000000002</v>
      </c>
      <c r="AG5">
        <v>10.000000000000009</v>
      </c>
    </row>
    <row r="6" spans="1:33" x14ac:dyDescent="0.25">
      <c r="A6">
        <v>12</v>
      </c>
      <c r="B6" t="s">
        <v>121</v>
      </c>
      <c r="C6" t="s">
        <v>64</v>
      </c>
      <c r="D6">
        <v>45000</v>
      </c>
      <c r="E6">
        <v>5000</v>
      </c>
      <c r="F6">
        <v>0</v>
      </c>
      <c r="G6">
        <v>0</v>
      </c>
      <c r="H6">
        <v>0</v>
      </c>
      <c r="I6" t="s">
        <v>193</v>
      </c>
      <c r="J6" s="55">
        <v>0.41666666666666702</v>
      </c>
      <c r="K6" s="87">
        <v>1</v>
      </c>
      <c r="L6">
        <v>1</v>
      </c>
      <c r="M6">
        <v>1</v>
      </c>
      <c r="N6">
        <v>1</v>
      </c>
      <c r="O6">
        <v>1</v>
      </c>
      <c r="P6">
        <v>1</v>
      </c>
      <c r="Q6">
        <v>1</v>
      </c>
      <c r="AD6">
        <v>0.21999999999999997</v>
      </c>
      <c r="AE6">
        <v>10.000000000000009</v>
      </c>
      <c r="AF6">
        <v>0.21000000000000002</v>
      </c>
      <c r="AG6">
        <v>10.000000000000009</v>
      </c>
    </row>
    <row r="7" spans="1:33" x14ac:dyDescent="0.25">
      <c r="A7">
        <v>29</v>
      </c>
      <c r="B7" t="s">
        <v>122</v>
      </c>
      <c r="C7" t="s">
        <v>64</v>
      </c>
      <c r="D7">
        <v>45000</v>
      </c>
      <c r="E7">
        <v>8000</v>
      </c>
      <c r="F7">
        <v>0</v>
      </c>
      <c r="G7">
        <v>0</v>
      </c>
      <c r="H7">
        <v>0</v>
      </c>
      <c r="I7" t="s">
        <v>193</v>
      </c>
      <c r="J7" s="55">
        <v>0.41666666666666702</v>
      </c>
      <c r="K7" s="87">
        <v>1</v>
      </c>
      <c r="L7">
        <v>1</v>
      </c>
      <c r="M7">
        <v>1</v>
      </c>
      <c r="N7">
        <v>1</v>
      </c>
      <c r="O7">
        <v>1</v>
      </c>
      <c r="P7">
        <v>1</v>
      </c>
      <c r="Q7">
        <v>1</v>
      </c>
      <c r="AD7">
        <v>0.21999999999999997</v>
      </c>
      <c r="AE7">
        <v>10.000000000000009</v>
      </c>
      <c r="AF7">
        <v>0.21000000000000002</v>
      </c>
      <c r="AG7">
        <v>10.000000000000009</v>
      </c>
    </row>
    <row r="8" spans="1:33" x14ac:dyDescent="0.25">
      <c r="A8">
        <v>70</v>
      </c>
      <c r="B8" t="s">
        <v>123</v>
      </c>
      <c r="C8" t="s">
        <v>64</v>
      </c>
      <c r="D8">
        <v>45000</v>
      </c>
      <c r="E8">
        <v>6500</v>
      </c>
      <c r="F8">
        <v>0</v>
      </c>
      <c r="G8">
        <v>0</v>
      </c>
      <c r="H8">
        <v>0</v>
      </c>
      <c r="I8" t="s">
        <v>193</v>
      </c>
      <c r="J8" s="55">
        <v>0.41666666666666702</v>
      </c>
      <c r="K8" s="87">
        <v>1</v>
      </c>
      <c r="L8">
        <v>1</v>
      </c>
      <c r="M8">
        <v>1</v>
      </c>
      <c r="N8">
        <v>1</v>
      </c>
      <c r="O8">
        <v>1</v>
      </c>
      <c r="P8">
        <v>1</v>
      </c>
      <c r="Q8">
        <v>1</v>
      </c>
      <c r="AD8">
        <v>0.21999999999999997</v>
      </c>
      <c r="AE8">
        <v>10.000000000000009</v>
      </c>
      <c r="AF8">
        <v>0.21000000000000002</v>
      </c>
      <c r="AG8">
        <v>10.000000000000009</v>
      </c>
    </row>
    <row r="9" spans="1:33" x14ac:dyDescent="0.25">
      <c r="A9">
        <v>71</v>
      </c>
      <c r="B9" t="s">
        <v>124</v>
      </c>
      <c r="C9" t="s">
        <v>64</v>
      </c>
      <c r="D9">
        <v>45000</v>
      </c>
      <c r="E9">
        <v>6500</v>
      </c>
      <c r="F9">
        <v>0</v>
      </c>
      <c r="G9">
        <v>0</v>
      </c>
      <c r="H9">
        <v>0</v>
      </c>
      <c r="I9" t="s">
        <v>193</v>
      </c>
      <c r="J9" s="55">
        <v>0.41666666666666702</v>
      </c>
      <c r="K9" s="87">
        <v>1</v>
      </c>
      <c r="L9">
        <v>1</v>
      </c>
      <c r="M9">
        <v>1</v>
      </c>
      <c r="N9">
        <v>1</v>
      </c>
      <c r="O9">
        <v>1</v>
      </c>
      <c r="P9">
        <v>1</v>
      </c>
      <c r="Q9">
        <v>1</v>
      </c>
      <c r="AD9">
        <v>0.21999999999999997</v>
      </c>
      <c r="AE9">
        <v>10.000000000000009</v>
      </c>
      <c r="AF9">
        <v>0.21000000000000002</v>
      </c>
      <c r="AG9">
        <v>10.000000000000009</v>
      </c>
    </row>
    <row r="10" spans="1:33" x14ac:dyDescent="0.25">
      <c r="A10">
        <v>384</v>
      </c>
      <c r="B10" t="s">
        <v>125</v>
      </c>
      <c r="C10" t="s">
        <v>64</v>
      </c>
      <c r="D10">
        <v>45000</v>
      </c>
      <c r="E10">
        <v>96500</v>
      </c>
      <c r="F10">
        <v>0</v>
      </c>
      <c r="G10">
        <v>0</v>
      </c>
      <c r="H10">
        <v>0</v>
      </c>
      <c r="I10" t="s">
        <v>193</v>
      </c>
      <c r="J10" s="55">
        <v>0.41666666666666702</v>
      </c>
      <c r="K10" s="87">
        <v>1</v>
      </c>
      <c r="L10">
        <v>1</v>
      </c>
      <c r="M10">
        <v>1</v>
      </c>
      <c r="N10">
        <v>1</v>
      </c>
      <c r="O10">
        <v>1</v>
      </c>
      <c r="P10">
        <v>1</v>
      </c>
      <c r="Q10">
        <v>1</v>
      </c>
      <c r="AD10">
        <v>0.21999999999999997</v>
      </c>
      <c r="AE10">
        <v>10.000000000000009</v>
      </c>
      <c r="AF10">
        <v>0.21000000000000002</v>
      </c>
      <c r="AG10">
        <v>10.000000000000009</v>
      </c>
    </row>
    <row r="11" spans="1:33" x14ac:dyDescent="0.25">
      <c r="A11">
        <v>429</v>
      </c>
      <c r="B11" t="s">
        <v>126</v>
      </c>
      <c r="C11" t="s">
        <v>64</v>
      </c>
      <c r="D11">
        <v>45000</v>
      </c>
      <c r="E11">
        <v>16500</v>
      </c>
      <c r="F11">
        <v>0</v>
      </c>
      <c r="G11">
        <v>0</v>
      </c>
      <c r="H11">
        <v>0</v>
      </c>
      <c r="I11" t="s">
        <v>193</v>
      </c>
      <c r="J11" s="55">
        <v>0.41666666666666702</v>
      </c>
      <c r="K11" s="87">
        <v>1</v>
      </c>
      <c r="L11">
        <v>1</v>
      </c>
      <c r="M11">
        <v>1</v>
      </c>
      <c r="N11">
        <v>1</v>
      </c>
      <c r="O11">
        <v>1</v>
      </c>
      <c r="P11">
        <v>1</v>
      </c>
      <c r="Q11">
        <v>1</v>
      </c>
      <c r="AD11">
        <v>0.21999999999999997</v>
      </c>
      <c r="AE11">
        <v>10.000000000000009</v>
      </c>
      <c r="AF11">
        <v>0.21000000000000002</v>
      </c>
      <c r="AG11">
        <v>10.000000000000009</v>
      </c>
    </row>
    <row r="12" spans="1:33" x14ac:dyDescent="0.25">
      <c r="A12">
        <v>486</v>
      </c>
      <c r="B12" t="s">
        <v>127</v>
      </c>
      <c r="C12" t="s">
        <v>64</v>
      </c>
      <c r="D12">
        <v>45000</v>
      </c>
      <c r="E12">
        <v>16500</v>
      </c>
      <c r="F12">
        <v>0</v>
      </c>
      <c r="G12">
        <v>0</v>
      </c>
      <c r="H12">
        <v>0</v>
      </c>
      <c r="I12" t="s">
        <v>193</v>
      </c>
      <c r="J12" s="55">
        <v>0.41666666666666702</v>
      </c>
      <c r="K12" s="87">
        <v>1</v>
      </c>
      <c r="L12">
        <v>1</v>
      </c>
      <c r="M12">
        <v>1</v>
      </c>
      <c r="N12">
        <v>1</v>
      </c>
      <c r="O12">
        <v>1</v>
      </c>
      <c r="P12">
        <v>1</v>
      </c>
      <c r="Q12">
        <v>1</v>
      </c>
      <c r="AD12">
        <v>0.21999999999999997</v>
      </c>
      <c r="AE12">
        <v>10.000000000000009</v>
      </c>
      <c r="AF12">
        <v>0.21000000000000002</v>
      </c>
      <c r="AG12">
        <v>10.000000000000009</v>
      </c>
    </row>
    <row r="13" spans="1:33" x14ac:dyDescent="0.25">
      <c r="A13">
        <v>546</v>
      </c>
      <c r="B13" t="s">
        <v>128</v>
      </c>
      <c r="C13" t="s">
        <v>64</v>
      </c>
      <c r="D13">
        <v>45000</v>
      </c>
      <c r="E13">
        <v>16500</v>
      </c>
      <c r="F13">
        <v>0</v>
      </c>
      <c r="G13">
        <v>0</v>
      </c>
      <c r="H13">
        <v>0</v>
      </c>
      <c r="I13" t="s">
        <v>193</v>
      </c>
      <c r="J13" s="55">
        <v>0.41666666666666702</v>
      </c>
      <c r="K13" s="87">
        <v>1</v>
      </c>
      <c r="L13">
        <v>1</v>
      </c>
      <c r="M13">
        <v>1</v>
      </c>
      <c r="N13">
        <v>1</v>
      </c>
      <c r="O13">
        <v>1</v>
      </c>
      <c r="P13">
        <v>1</v>
      </c>
      <c r="Q13">
        <v>1</v>
      </c>
      <c r="AD13">
        <v>0.21999999999999997</v>
      </c>
      <c r="AE13">
        <v>10.000000000000009</v>
      </c>
      <c r="AF13">
        <v>0.21000000000000002</v>
      </c>
      <c r="AG13">
        <v>10.000000000000009</v>
      </c>
    </row>
    <row r="14" spans="1:33" x14ac:dyDescent="0.25">
      <c r="A14">
        <v>599</v>
      </c>
      <c r="B14" t="s">
        <v>129</v>
      </c>
      <c r="C14" t="s">
        <v>64</v>
      </c>
      <c r="D14">
        <v>45000</v>
      </c>
      <c r="E14">
        <v>16500</v>
      </c>
      <c r="F14">
        <v>0</v>
      </c>
      <c r="G14">
        <v>0</v>
      </c>
      <c r="H14">
        <v>0</v>
      </c>
      <c r="I14" t="s">
        <v>193</v>
      </c>
      <c r="J14" s="55">
        <v>0.41666666666666702</v>
      </c>
      <c r="K14" s="87">
        <v>1</v>
      </c>
      <c r="L14">
        <v>1</v>
      </c>
      <c r="M14">
        <v>1</v>
      </c>
      <c r="N14">
        <v>1</v>
      </c>
      <c r="O14">
        <v>1</v>
      </c>
      <c r="P14">
        <v>1</v>
      </c>
      <c r="Q14">
        <v>1</v>
      </c>
      <c r="AD14">
        <v>0.21999999999999997</v>
      </c>
      <c r="AE14">
        <v>10.000000000000009</v>
      </c>
      <c r="AF14">
        <v>0.21000000000000002</v>
      </c>
      <c r="AG14">
        <v>10.000000000000009</v>
      </c>
    </row>
    <row r="15" spans="1:33" x14ac:dyDescent="0.25">
      <c r="A15">
        <v>620</v>
      </c>
      <c r="B15" t="s">
        <v>130</v>
      </c>
      <c r="C15" t="s">
        <v>64</v>
      </c>
      <c r="D15">
        <v>45000</v>
      </c>
      <c r="E15">
        <v>16500</v>
      </c>
      <c r="F15">
        <v>0</v>
      </c>
      <c r="G15">
        <v>0</v>
      </c>
      <c r="H15">
        <v>0</v>
      </c>
      <c r="I15" t="s">
        <v>193</v>
      </c>
      <c r="J15" s="55">
        <v>0.41666666666666702</v>
      </c>
      <c r="K15" s="87">
        <v>1</v>
      </c>
      <c r="L15">
        <v>1</v>
      </c>
      <c r="M15">
        <v>1</v>
      </c>
      <c r="N15">
        <v>1</v>
      </c>
      <c r="O15">
        <v>1</v>
      </c>
      <c r="P15">
        <v>1</v>
      </c>
      <c r="Q15">
        <v>1</v>
      </c>
      <c r="AD15">
        <v>0.21999999999999997</v>
      </c>
      <c r="AE15">
        <v>10.000000000000009</v>
      </c>
      <c r="AF15">
        <v>0.21000000000000002</v>
      </c>
      <c r="AG15">
        <v>10.000000000000009</v>
      </c>
    </row>
    <row r="16" spans="1:33" x14ac:dyDescent="0.25">
      <c r="A16">
        <v>626</v>
      </c>
      <c r="B16" t="s">
        <v>131</v>
      </c>
      <c r="C16" t="s">
        <v>64</v>
      </c>
      <c r="D16">
        <v>45000</v>
      </c>
      <c r="E16">
        <v>16500</v>
      </c>
      <c r="F16">
        <v>0</v>
      </c>
      <c r="G16">
        <v>0</v>
      </c>
      <c r="H16">
        <v>0</v>
      </c>
      <c r="I16" t="s">
        <v>193</v>
      </c>
      <c r="J16" s="55">
        <v>0.41666666666666702</v>
      </c>
      <c r="K16" s="87">
        <v>1</v>
      </c>
      <c r="L16">
        <v>1</v>
      </c>
      <c r="M16">
        <v>1</v>
      </c>
      <c r="N16">
        <v>1</v>
      </c>
      <c r="O16">
        <v>1</v>
      </c>
      <c r="P16">
        <v>1</v>
      </c>
      <c r="Q16">
        <v>1</v>
      </c>
      <c r="AD16">
        <v>0.21999999999999997</v>
      </c>
      <c r="AE16">
        <v>10.000000000000009</v>
      </c>
      <c r="AF16">
        <v>0.21000000000000002</v>
      </c>
      <c r="AG16">
        <v>10.000000000000009</v>
      </c>
    </row>
    <row r="17" spans="1:33" x14ac:dyDescent="0.25">
      <c r="A17">
        <v>627</v>
      </c>
      <c r="B17" t="s">
        <v>132</v>
      </c>
      <c r="C17" t="s">
        <v>64</v>
      </c>
      <c r="D17">
        <v>45000</v>
      </c>
      <c r="E17">
        <v>6500</v>
      </c>
      <c r="F17">
        <v>0</v>
      </c>
      <c r="G17">
        <v>0</v>
      </c>
      <c r="H17">
        <v>0</v>
      </c>
      <c r="I17" t="s">
        <v>193</v>
      </c>
      <c r="J17" s="55">
        <v>0.41666666666666702</v>
      </c>
      <c r="K17" s="87">
        <v>1</v>
      </c>
      <c r="L17">
        <v>1</v>
      </c>
      <c r="M17">
        <v>1</v>
      </c>
      <c r="N17">
        <v>1</v>
      </c>
      <c r="O17">
        <v>1</v>
      </c>
      <c r="P17">
        <v>1</v>
      </c>
      <c r="Q17">
        <v>1</v>
      </c>
      <c r="AD17">
        <v>0.21999999999999997</v>
      </c>
      <c r="AE17">
        <v>10.000000000000009</v>
      </c>
      <c r="AF17">
        <v>0.21000000000000002</v>
      </c>
      <c r="AG17">
        <v>10.000000000000009</v>
      </c>
    </row>
    <row r="18" spans="1:33" x14ac:dyDescent="0.25">
      <c r="A18">
        <v>651</v>
      </c>
      <c r="B18" t="s">
        <v>133</v>
      </c>
      <c r="C18" t="s">
        <v>64</v>
      </c>
      <c r="D18">
        <v>45000</v>
      </c>
      <c r="E18">
        <v>6500</v>
      </c>
      <c r="F18">
        <v>0</v>
      </c>
      <c r="G18">
        <v>0</v>
      </c>
      <c r="H18">
        <v>384</v>
      </c>
      <c r="I18" t="s">
        <v>193</v>
      </c>
      <c r="J18" s="55">
        <v>0.41666666666666702</v>
      </c>
      <c r="K18" s="87">
        <v>1</v>
      </c>
      <c r="L18">
        <v>1</v>
      </c>
      <c r="M18">
        <v>1</v>
      </c>
      <c r="N18">
        <v>1</v>
      </c>
      <c r="O18">
        <v>1</v>
      </c>
      <c r="P18">
        <v>1</v>
      </c>
      <c r="Q18">
        <v>1</v>
      </c>
      <c r="AD18">
        <v>0.21999999999999997</v>
      </c>
      <c r="AE18">
        <v>10.000000000000009</v>
      </c>
      <c r="AF18">
        <v>0.21000000000000002</v>
      </c>
      <c r="AG18">
        <v>10.000000000000009</v>
      </c>
    </row>
    <row r="19" spans="1:33" x14ac:dyDescent="0.25">
      <c r="A19">
        <v>668</v>
      </c>
      <c r="B19" t="s">
        <v>134</v>
      </c>
      <c r="C19" t="s">
        <v>64</v>
      </c>
      <c r="D19">
        <v>20000</v>
      </c>
      <c r="E19">
        <v>6500</v>
      </c>
      <c r="F19">
        <v>0</v>
      </c>
      <c r="G19">
        <v>0</v>
      </c>
      <c r="H19">
        <v>0</v>
      </c>
      <c r="I19" t="s">
        <v>193</v>
      </c>
      <c r="J19" s="55">
        <v>0.41666666666666702</v>
      </c>
      <c r="K19" s="87">
        <v>1</v>
      </c>
      <c r="L19">
        <v>1</v>
      </c>
      <c r="M19">
        <v>1</v>
      </c>
      <c r="N19">
        <v>1</v>
      </c>
      <c r="O19">
        <v>1</v>
      </c>
      <c r="P19">
        <v>1</v>
      </c>
      <c r="Q19">
        <v>1</v>
      </c>
      <c r="AD19">
        <v>0.21999999999999997</v>
      </c>
      <c r="AE19">
        <v>10.000000000000009</v>
      </c>
      <c r="AF19">
        <v>0.21000000000000002</v>
      </c>
      <c r="AG19">
        <v>10.000000000000009</v>
      </c>
    </row>
    <row r="20" spans="1:33" x14ac:dyDescent="0.25">
      <c r="A20">
        <v>681</v>
      </c>
      <c r="B20" t="s">
        <v>135</v>
      </c>
      <c r="C20" t="s">
        <v>64</v>
      </c>
      <c r="D20">
        <v>20000</v>
      </c>
      <c r="E20">
        <v>6500</v>
      </c>
      <c r="F20">
        <v>0</v>
      </c>
      <c r="G20">
        <v>0</v>
      </c>
      <c r="H20">
        <v>384</v>
      </c>
      <c r="I20" t="s">
        <v>193</v>
      </c>
      <c r="J20" s="55">
        <v>0.41666666666666702</v>
      </c>
      <c r="K20" s="87">
        <v>1</v>
      </c>
      <c r="L20">
        <v>1</v>
      </c>
      <c r="M20">
        <v>1</v>
      </c>
      <c r="N20">
        <v>1</v>
      </c>
      <c r="O20">
        <v>1</v>
      </c>
      <c r="P20">
        <v>1</v>
      </c>
      <c r="Q20">
        <v>1</v>
      </c>
      <c r="AD20">
        <v>0.21999999999999997</v>
      </c>
      <c r="AE20">
        <v>10.000000000000009</v>
      </c>
      <c r="AF20">
        <v>0.21000000000000002</v>
      </c>
      <c r="AG20">
        <v>10.000000000000009</v>
      </c>
    </row>
    <row r="21" spans="1:33" x14ac:dyDescent="0.25">
      <c r="A21">
        <v>682</v>
      </c>
      <c r="B21" t="s">
        <v>136</v>
      </c>
      <c r="C21" t="s">
        <v>64</v>
      </c>
      <c r="D21">
        <v>20000</v>
      </c>
      <c r="E21">
        <v>14000</v>
      </c>
      <c r="F21">
        <v>0</v>
      </c>
      <c r="G21">
        <v>0</v>
      </c>
      <c r="H21">
        <v>0</v>
      </c>
      <c r="I21" t="s">
        <v>193</v>
      </c>
      <c r="J21" s="55">
        <v>0.41666666666666702</v>
      </c>
      <c r="K21" s="87">
        <v>1</v>
      </c>
      <c r="L21">
        <v>1</v>
      </c>
      <c r="M21">
        <v>1</v>
      </c>
      <c r="N21">
        <v>1</v>
      </c>
      <c r="O21">
        <v>1</v>
      </c>
      <c r="P21">
        <v>1</v>
      </c>
      <c r="Q21">
        <v>1</v>
      </c>
      <c r="AD21">
        <v>0.21999999999999997</v>
      </c>
      <c r="AE21">
        <v>10.000000000000009</v>
      </c>
      <c r="AF21">
        <v>0.21000000000000002</v>
      </c>
      <c r="AG21">
        <v>10.000000000000009</v>
      </c>
    </row>
    <row r="22" spans="1:33" x14ac:dyDescent="0.25">
      <c r="A22">
        <v>683</v>
      </c>
      <c r="B22" t="s">
        <v>137</v>
      </c>
      <c r="C22" t="s">
        <v>64</v>
      </c>
      <c r="D22">
        <v>30000</v>
      </c>
      <c r="E22">
        <v>4000</v>
      </c>
      <c r="F22">
        <v>0</v>
      </c>
      <c r="G22">
        <v>0</v>
      </c>
      <c r="H22">
        <v>0</v>
      </c>
      <c r="I22" t="s">
        <v>193</v>
      </c>
      <c r="J22" s="55">
        <v>0.41666666666666702</v>
      </c>
      <c r="K22" s="87">
        <v>1</v>
      </c>
      <c r="L22">
        <v>1</v>
      </c>
      <c r="M22">
        <v>1</v>
      </c>
      <c r="N22">
        <v>1</v>
      </c>
      <c r="O22">
        <v>1</v>
      </c>
      <c r="P22">
        <v>1</v>
      </c>
      <c r="Q22">
        <v>1</v>
      </c>
      <c r="AD22">
        <v>0.21999999999999997</v>
      </c>
      <c r="AE22">
        <v>10.000000000000009</v>
      </c>
      <c r="AF22">
        <v>0.21000000000000002</v>
      </c>
      <c r="AG22">
        <v>10.000000000000009</v>
      </c>
    </row>
    <row r="23" spans="1:33" x14ac:dyDescent="0.25">
      <c r="A23">
        <v>684</v>
      </c>
      <c r="B23" t="s">
        <v>138</v>
      </c>
      <c r="C23" t="s">
        <v>64</v>
      </c>
      <c r="D23">
        <v>30000</v>
      </c>
      <c r="E23">
        <v>12000</v>
      </c>
      <c r="F23">
        <v>0</v>
      </c>
      <c r="G23">
        <v>0</v>
      </c>
      <c r="H23">
        <v>0</v>
      </c>
      <c r="I23" t="s">
        <v>193</v>
      </c>
      <c r="J23" s="55">
        <v>0.41666666666666702</v>
      </c>
      <c r="K23" s="87">
        <v>1</v>
      </c>
      <c r="L23">
        <v>1</v>
      </c>
      <c r="M23">
        <v>1</v>
      </c>
      <c r="N23">
        <v>1</v>
      </c>
      <c r="O23">
        <v>1</v>
      </c>
      <c r="P23">
        <v>1</v>
      </c>
      <c r="Q23">
        <v>1</v>
      </c>
      <c r="AD23">
        <v>0.21999999999999997</v>
      </c>
      <c r="AE23">
        <v>10.000000000000009</v>
      </c>
      <c r="AF23">
        <v>0.21000000000000002</v>
      </c>
      <c r="AG23">
        <v>10.000000000000009</v>
      </c>
    </row>
    <row r="24" spans="1:33" x14ac:dyDescent="0.25">
      <c r="A24">
        <v>685</v>
      </c>
      <c r="B24" t="s">
        <v>139</v>
      </c>
      <c r="C24" t="s">
        <v>64</v>
      </c>
      <c r="D24">
        <v>30000</v>
      </c>
      <c r="E24">
        <v>3000</v>
      </c>
      <c r="F24">
        <v>0</v>
      </c>
      <c r="G24">
        <v>0</v>
      </c>
      <c r="H24">
        <v>0</v>
      </c>
      <c r="I24" t="s">
        <v>193</v>
      </c>
      <c r="J24" s="55">
        <v>0.41666666666666702</v>
      </c>
      <c r="K24" s="87">
        <v>1</v>
      </c>
      <c r="L24">
        <v>1</v>
      </c>
      <c r="M24">
        <v>1</v>
      </c>
      <c r="N24">
        <v>1</v>
      </c>
      <c r="O24">
        <v>1</v>
      </c>
      <c r="P24">
        <v>1</v>
      </c>
      <c r="Q24">
        <v>1</v>
      </c>
      <c r="AD24">
        <v>0.21999999999999997</v>
      </c>
      <c r="AE24">
        <v>10.000000000000009</v>
      </c>
      <c r="AF24">
        <v>0.21000000000000002</v>
      </c>
      <c r="AG24">
        <v>10.000000000000009</v>
      </c>
    </row>
    <row r="25" spans="1:33" x14ac:dyDescent="0.25">
      <c r="A25">
        <v>691</v>
      </c>
      <c r="B25" t="s">
        <v>140</v>
      </c>
      <c r="C25" t="s">
        <v>64</v>
      </c>
      <c r="D25">
        <v>30000</v>
      </c>
      <c r="E25">
        <v>6500</v>
      </c>
      <c r="F25">
        <v>0</v>
      </c>
      <c r="G25">
        <v>0</v>
      </c>
      <c r="H25">
        <v>0</v>
      </c>
      <c r="I25" t="s">
        <v>193</v>
      </c>
      <c r="J25" s="55">
        <v>0.41666666666666702</v>
      </c>
      <c r="K25" s="87">
        <v>1</v>
      </c>
      <c r="L25">
        <v>1</v>
      </c>
      <c r="M25">
        <v>1</v>
      </c>
      <c r="N25">
        <v>1</v>
      </c>
      <c r="O25">
        <v>1</v>
      </c>
      <c r="P25">
        <v>1</v>
      </c>
      <c r="Q25">
        <v>1</v>
      </c>
      <c r="AD25">
        <v>0.21999999999999997</v>
      </c>
      <c r="AE25">
        <v>10.000000000000009</v>
      </c>
      <c r="AF25">
        <v>0.21000000000000002</v>
      </c>
      <c r="AG25">
        <v>10.000000000000009</v>
      </c>
    </row>
    <row r="26" spans="1:33" x14ac:dyDescent="0.25">
      <c r="A26">
        <v>706</v>
      </c>
      <c r="B26" t="s">
        <v>141</v>
      </c>
      <c r="C26" t="s">
        <v>64</v>
      </c>
      <c r="D26">
        <v>30000</v>
      </c>
      <c r="E26">
        <v>1200</v>
      </c>
      <c r="F26">
        <v>0</v>
      </c>
      <c r="G26">
        <v>0</v>
      </c>
      <c r="H26">
        <v>0</v>
      </c>
      <c r="I26" t="s">
        <v>193</v>
      </c>
      <c r="J26" s="55">
        <v>0.41666666666666702</v>
      </c>
      <c r="K26" s="87">
        <v>1</v>
      </c>
      <c r="L26">
        <v>1</v>
      </c>
      <c r="M26">
        <v>1</v>
      </c>
      <c r="N26">
        <v>1</v>
      </c>
      <c r="O26">
        <v>1</v>
      </c>
      <c r="P26">
        <v>1</v>
      </c>
      <c r="Q26">
        <v>1</v>
      </c>
      <c r="AD26">
        <v>0.21999999999999997</v>
      </c>
      <c r="AE26">
        <v>10.000000000000009</v>
      </c>
      <c r="AF26">
        <v>0.21000000000000002</v>
      </c>
      <c r="AG26">
        <v>10.000000000000009</v>
      </c>
    </row>
    <row r="27" spans="1:33" x14ac:dyDescent="0.25">
      <c r="A27">
        <v>713</v>
      </c>
      <c r="B27" t="s">
        <v>142</v>
      </c>
      <c r="C27" t="s">
        <v>64</v>
      </c>
      <c r="D27">
        <v>30000</v>
      </c>
      <c r="E27">
        <v>5000</v>
      </c>
      <c r="F27">
        <v>0</v>
      </c>
      <c r="G27">
        <v>0</v>
      </c>
      <c r="H27">
        <v>0</v>
      </c>
      <c r="I27" t="s">
        <v>193</v>
      </c>
      <c r="J27" s="55">
        <v>0.41666666666666702</v>
      </c>
      <c r="K27" s="87">
        <v>1</v>
      </c>
      <c r="L27">
        <v>1</v>
      </c>
      <c r="M27">
        <v>1</v>
      </c>
      <c r="N27">
        <v>1</v>
      </c>
      <c r="O27">
        <v>1</v>
      </c>
      <c r="P27">
        <v>1</v>
      </c>
      <c r="Q27">
        <v>1</v>
      </c>
      <c r="AD27">
        <v>0.21999999999999997</v>
      </c>
      <c r="AE27">
        <v>10.000000000000009</v>
      </c>
      <c r="AF27">
        <v>0.21000000000000002</v>
      </c>
      <c r="AG27">
        <v>10.000000000000009</v>
      </c>
    </row>
    <row r="28" spans="1:33" x14ac:dyDescent="0.25">
      <c r="A28">
        <v>718</v>
      </c>
      <c r="B28" t="s">
        <v>143</v>
      </c>
      <c r="C28" t="s">
        <v>64</v>
      </c>
      <c r="D28">
        <v>30000</v>
      </c>
      <c r="E28">
        <v>8000</v>
      </c>
      <c r="F28">
        <v>0</v>
      </c>
      <c r="G28">
        <v>0</v>
      </c>
      <c r="H28">
        <v>0</v>
      </c>
      <c r="I28" t="s">
        <v>193</v>
      </c>
      <c r="J28" s="55">
        <v>0.41666666666666702</v>
      </c>
      <c r="K28" s="87">
        <v>1</v>
      </c>
      <c r="L28">
        <v>1</v>
      </c>
      <c r="M28">
        <v>1</v>
      </c>
      <c r="N28">
        <v>1</v>
      </c>
      <c r="O28">
        <v>1</v>
      </c>
      <c r="P28">
        <v>1</v>
      </c>
      <c r="Q28">
        <v>1</v>
      </c>
      <c r="AD28">
        <v>0.21999999999999997</v>
      </c>
      <c r="AE28">
        <v>10.000000000000009</v>
      </c>
      <c r="AF28">
        <v>0.21000000000000002</v>
      </c>
      <c r="AG28">
        <v>10.000000000000009</v>
      </c>
    </row>
    <row r="29" spans="1:33" x14ac:dyDescent="0.25">
      <c r="A29">
        <v>731</v>
      </c>
      <c r="B29" t="s">
        <v>144</v>
      </c>
      <c r="C29" t="s">
        <v>64</v>
      </c>
      <c r="D29">
        <v>20000</v>
      </c>
      <c r="E29">
        <v>12500</v>
      </c>
      <c r="F29">
        <v>0</v>
      </c>
      <c r="G29">
        <v>0</v>
      </c>
      <c r="H29">
        <v>0</v>
      </c>
      <c r="I29" t="s">
        <v>193</v>
      </c>
      <c r="J29" s="55">
        <v>0.41666666666666702</v>
      </c>
      <c r="K29" s="87">
        <v>1</v>
      </c>
      <c r="L29">
        <v>1</v>
      </c>
      <c r="M29">
        <v>1</v>
      </c>
      <c r="N29">
        <v>1</v>
      </c>
      <c r="O29">
        <v>1</v>
      </c>
      <c r="P29">
        <v>1</v>
      </c>
      <c r="Q29">
        <v>1</v>
      </c>
      <c r="AD29">
        <v>0.21999999999999997</v>
      </c>
      <c r="AE29">
        <v>10.000000000000009</v>
      </c>
      <c r="AF29">
        <v>0.21000000000000002</v>
      </c>
      <c r="AG29">
        <v>10.000000000000009</v>
      </c>
    </row>
    <row r="30" spans="1:33" x14ac:dyDescent="0.25">
      <c r="A30">
        <v>743</v>
      </c>
      <c r="B30" t="s">
        <v>145</v>
      </c>
      <c r="C30" t="s">
        <v>64</v>
      </c>
      <c r="D30">
        <v>15000</v>
      </c>
      <c r="E30">
        <v>12500</v>
      </c>
      <c r="F30">
        <v>0</v>
      </c>
      <c r="G30">
        <v>0</v>
      </c>
      <c r="H30">
        <v>0</v>
      </c>
      <c r="I30" t="s">
        <v>193</v>
      </c>
      <c r="J30" s="55">
        <v>0.41666666666666702</v>
      </c>
      <c r="K30" s="87">
        <v>1</v>
      </c>
      <c r="L30">
        <v>1</v>
      </c>
      <c r="M30">
        <v>1</v>
      </c>
      <c r="N30">
        <v>1</v>
      </c>
      <c r="O30">
        <v>1</v>
      </c>
      <c r="P30">
        <v>1</v>
      </c>
      <c r="Q30">
        <v>1</v>
      </c>
      <c r="AD30">
        <v>0.21999999999999997</v>
      </c>
      <c r="AE30">
        <v>10.000000000000009</v>
      </c>
      <c r="AF30">
        <v>0.21000000000000002</v>
      </c>
      <c r="AG30">
        <v>10.000000000000009</v>
      </c>
    </row>
    <row r="31" spans="1:33" x14ac:dyDescent="0.25">
      <c r="A31">
        <v>760</v>
      </c>
      <c r="B31" t="s">
        <v>146</v>
      </c>
      <c r="C31" t="s">
        <v>64</v>
      </c>
      <c r="D31">
        <v>20000</v>
      </c>
      <c r="E31">
        <v>12500</v>
      </c>
      <c r="F31">
        <v>0</v>
      </c>
      <c r="G31">
        <v>0</v>
      </c>
      <c r="H31">
        <v>0</v>
      </c>
      <c r="I31" t="s">
        <v>193</v>
      </c>
      <c r="J31" s="55">
        <v>0.41666666666666702</v>
      </c>
      <c r="K31" s="87">
        <v>1</v>
      </c>
      <c r="L31">
        <v>1</v>
      </c>
      <c r="M31">
        <v>1</v>
      </c>
      <c r="N31">
        <v>1</v>
      </c>
      <c r="O31">
        <v>1</v>
      </c>
      <c r="P31">
        <v>1</v>
      </c>
      <c r="Q31">
        <v>1</v>
      </c>
      <c r="AD31">
        <v>0.21999999999999997</v>
      </c>
      <c r="AE31">
        <v>10.000000000000009</v>
      </c>
      <c r="AF31">
        <v>0.21000000000000002</v>
      </c>
      <c r="AG31">
        <v>10.000000000000009</v>
      </c>
    </row>
    <row r="32" spans="1:33" x14ac:dyDescent="0.25">
      <c r="A32">
        <v>765</v>
      </c>
      <c r="B32" t="s">
        <v>147</v>
      </c>
      <c r="C32" t="s">
        <v>64</v>
      </c>
      <c r="D32">
        <v>20000</v>
      </c>
      <c r="E32">
        <v>12500</v>
      </c>
      <c r="F32">
        <v>0</v>
      </c>
      <c r="G32">
        <v>0</v>
      </c>
      <c r="H32">
        <v>0</v>
      </c>
      <c r="I32" t="s">
        <v>193</v>
      </c>
      <c r="J32" s="55">
        <v>0.41666666666666702</v>
      </c>
      <c r="K32" s="87">
        <v>1</v>
      </c>
      <c r="L32">
        <v>1</v>
      </c>
      <c r="M32">
        <v>1</v>
      </c>
      <c r="N32">
        <v>1</v>
      </c>
      <c r="O32">
        <v>1</v>
      </c>
      <c r="P32">
        <v>1</v>
      </c>
      <c r="Q32">
        <v>1</v>
      </c>
      <c r="AD32">
        <v>0.21999999999999997</v>
      </c>
      <c r="AE32">
        <v>10.000000000000009</v>
      </c>
      <c r="AF32">
        <v>0.21000000000000002</v>
      </c>
      <c r="AG32">
        <v>10.000000000000009</v>
      </c>
    </row>
    <row r="33" spans="1:33" x14ac:dyDescent="0.25">
      <c r="A33">
        <v>766</v>
      </c>
      <c r="B33" t="s">
        <v>148</v>
      </c>
      <c r="C33" t="s">
        <v>64</v>
      </c>
      <c r="D33">
        <v>20000</v>
      </c>
      <c r="E33">
        <v>2500</v>
      </c>
      <c r="F33">
        <v>0</v>
      </c>
      <c r="G33">
        <v>0</v>
      </c>
      <c r="H33">
        <v>0</v>
      </c>
      <c r="I33" t="s">
        <v>193</v>
      </c>
      <c r="J33" s="55">
        <v>0.41666666666666702</v>
      </c>
      <c r="K33" s="87">
        <v>1</v>
      </c>
      <c r="L33">
        <v>1</v>
      </c>
      <c r="M33">
        <v>1</v>
      </c>
      <c r="N33">
        <v>1</v>
      </c>
      <c r="O33">
        <v>1</v>
      </c>
      <c r="P33">
        <v>1</v>
      </c>
      <c r="Q33">
        <v>1</v>
      </c>
      <c r="AD33">
        <v>0.21999999999999997</v>
      </c>
      <c r="AE33">
        <v>10.000000000000009</v>
      </c>
      <c r="AF33">
        <v>0.21000000000000002</v>
      </c>
      <c r="AG33">
        <v>10.000000000000009</v>
      </c>
    </row>
    <row r="34" spans="1:33" x14ac:dyDescent="0.25">
      <c r="A34">
        <v>767</v>
      </c>
      <c r="B34" t="s">
        <v>149</v>
      </c>
      <c r="C34" t="s">
        <v>64</v>
      </c>
      <c r="D34">
        <v>20000</v>
      </c>
      <c r="E34">
        <v>2500</v>
      </c>
      <c r="F34">
        <v>0</v>
      </c>
      <c r="G34">
        <v>0</v>
      </c>
      <c r="H34">
        <v>0</v>
      </c>
      <c r="I34" t="s">
        <v>193</v>
      </c>
      <c r="J34" s="55">
        <v>0.41666666666666702</v>
      </c>
      <c r="K34" s="87">
        <v>1</v>
      </c>
      <c r="L34">
        <v>1</v>
      </c>
      <c r="M34">
        <v>1</v>
      </c>
      <c r="N34">
        <v>1</v>
      </c>
      <c r="O34">
        <v>1</v>
      </c>
      <c r="P34">
        <v>1</v>
      </c>
      <c r="Q34">
        <v>1</v>
      </c>
      <c r="AD34">
        <v>0.21999999999999997</v>
      </c>
      <c r="AE34">
        <v>10.000000000000009</v>
      </c>
      <c r="AF34">
        <v>0.21000000000000002</v>
      </c>
      <c r="AG34">
        <v>10.000000000000009</v>
      </c>
    </row>
    <row r="35" spans="1:33" x14ac:dyDescent="0.25">
      <c r="A35">
        <v>795</v>
      </c>
      <c r="B35" t="s">
        <v>150</v>
      </c>
      <c r="C35" t="s">
        <v>64</v>
      </c>
      <c r="D35">
        <v>30000</v>
      </c>
      <c r="E35">
        <v>6500</v>
      </c>
      <c r="F35">
        <v>0</v>
      </c>
      <c r="G35">
        <v>0</v>
      </c>
      <c r="H35">
        <v>0</v>
      </c>
      <c r="I35" t="s">
        <v>193</v>
      </c>
      <c r="J35" s="55">
        <v>0.41666666666666702</v>
      </c>
      <c r="K35" s="87">
        <v>1</v>
      </c>
      <c r="L35">
        <v>1</v>
      </c>
      <c r="M35">
        <v>1</v>
      </c>
      <c r="N35">
        <v>1</v>
      </c>
      <c r="O35">
        <v>1</v>
      </c>
      <c r="P35">
        <v>1</v>
      </c>
      <c r="Q35">
        <v>1</v>
      </c>
      <c r="AD35">
        <v>0.21999999999999997</v>
      </c>
      <c r="AE35">
        <v>10.000000000000009</v>
      </c>
      <c r="AF35">
        <v>0.21000000000000002</v>
      </c>
      <c r="AG35">
        <v>10.000000000000009</v>
      </c>
    </row>
    <row r="36" spans="1:33" x14ac:dyDescent="0.25">
      <c r="A36">
        <v>798</v>
      </c>
      <c r="B36" t="s">
        <v>151</v>
      </c>
      <c r="C36" t="s">
        <v>64</v>
      </c>
      <c r="D36">
        <v>30000</v>
      </c>
      <c r="E36">
        <v>6500</v>
      </c>
      <c r="F36">
        <v>0</v>
      </c>
      <c r="G36">
        <v>0</v>
      </c>
      <c r="H36">
        <v>0</v>
      </c>
      <c r="I36" t="s">
        <v>193</v>
      </c>
      <c r="J36" s="55">
        <v>0.41666666666666702</v>
      </c>
      <c r="K36" s="87">
        <v>1</v>
      </c>
      <c r="L36">
        <v>1</v>
      </c>
      <c r="M36">
        <v>1</v>
      </c>
      <c r="N36">
        <v>1</v>
      </c>
      <c r="O36">
        <v>1</v>
      </c>
      <c r="P36">
        <v>1</v>
      </c>
      <c r="Q36">
        <v>1</v>
      </c>
      <c r="AD36">
        <v>0.21999999999999997</v>
      </c>
      <c r="AE36">
        <v>10.000000000000009</v>
      </c>
      <c r="AF36">
        <v>0.21000000000000002</v>
      </c>
      <c r="AG36">
        <v>10.000000000000009</v>
      </c>
    </row>
    <row r="37" spans="1:33" x14ac:dyDescent="0.25">
      <c r="A37">
        <v>799</v>
      </c>
      <c r="B37" t="s">
        <v>152</v>
      </c>
      <c r="C37" t="s">
        <v>64</v>
      </c>
      <c r="D37">
        <v>30000</v>
      </c>
      <c r="E37">
        <v>16500</v>
      </c>
      <c r="F37">
        <v>0</v>
      </c>
      <c r="G37">
        <v>0</v>
      </c>
      <c r="H37">
        <v>0</v>
      </c>
      <c r="I37" t="s">
        <v>193</v>
      </c>
      <c r="J37" s="55">
        <v>0.41666666666666702</v>
      </c>
      <c r="K37" s="87">
        <v>1</v>
      </c>
      <c r="L37">
        <v>1</v>
      </c>
      <c r="M37">
        <v>1</v>
      </c>
      <c r="N37">
        <v>1</v>
      </c>
      <c r="O37">
        <v>1</v>
      </c>
      <c r="P37">
        <v>1</v>
      </c>
      <c r="Q37">
        <v>1</v>
      </c>
      <c r="AD37">
        <v>0.21999999999999997</v>
      </c>
      <c r="AE37">
        <v>10.000000000000009</v>
      </c>
      <c r="AF37">
        <v>0.21000000000000002</v>
      </c>
      <c r="AG37">
        <v>10.000000000000009</v>
      </c>
    </row>
    <row r="38" spans="1:33" x14ac:dyDescent="0.25">
      <c r="A38">
        <v>811</v>
      </c>
      <c r="B38" t="s">
        <v>153</v>
      </c>
      <c r="C38" t="s">
        <v>64</v>
      </c>
      <c r="D38">
        <v>30000</v>
      </c>
      <c r="E38">
        <v>5000</v>
      </c>
      <c r="F38">
        <v>0</v>
      </c>
      <c r="G38">
        <v>0</v>
      </c>
      <c r="H38">
        <v>0</v>
      </c>
      <c r="I38" t="s">
        <v>193</v>
      </c>
      <c r="J38" s="55">
        <v>0.41666666666666702</v>
      </c>
      <c r="K38" s="87">
        <v>1</v>
      </c>
      <c r="L38">
        <v>1</v>
      </c>
      <c r="M38">
        <v>1</v>
      </c>
      <c r="N38">
        <v>1</v>
      </c>
      <c r="O38">
        <v>1</v>
      </c>
      <c r="P38">
        <v>1</v>
      </c>
      <c r="Q38">
        <v>1</v>
      </c>
      <c r="AD38">
        <v>0.21999999999999997</v>
      </c>
      <c r="AE38">
        <v>10.000000000000009</v>
      </c>
      <c r="AF38">
        <v>0.21000000000000002</v>
      </c>
      <c r="AG38">
        <v>10.000000000000009</v>
      </c>
    </row>
    <row r="39" spans="1:33" x14ac:dyDescent="0.25">
      <c r="A39">
        <v>820</v>
      </c>
      <c r="B39" t="s">
        <v>154</v>
      </c>
      <c r="C39" t="s">
        <v>64</v>
      </c>
      <c r="D39">
        <v>30000</v>
      </c>
      <c r="E39">
        <v>15000</v>
      </c>
      <c r="F39">
        <v>0</v>
      </c>
      <c r="G39">
        <v>0</v>
      </c>
      <c r="H39">
        <v>0</v>
      </c>
      <c r="I39" t="s">
        <v>193</v>
      </c>
      <c r="J39" s="55">
        <v>0.41666666666666702</v>
      </c>
      <c r="K39" s="87">
        <v>1</v>
      </c>
      <c r="L39">
        <v>1</v>
      </c>
      <c r="M39">
        <v>1</v>
      </c>
      <c r="N39">
        <v>1</v>
      </c>
      <c r="O39">
        <v>1</v>
      </c>
      <c r="P39">
        <v>1</v>
      </c>
      <c r="Q39">
        <v>1</v>
      </c>
      <c r="AD39">
        <v>0.21999999999999997</v>
      </c>
      <c r="AE39">
        <v>10.000000000000009</v>
      </c>
      <c r="AF39">
        <v>0.21000000000000002</v>
      </c>
      <c r="AG39">
        <v>10.000000000000009</v>
      </c>
    </row>
    <row r="40" spans="1:33" x14ac:dyDescent="0.25">
      <c r="A40">
        <v>830</v>
      </c>
      <c r="B40" t="s">
        <v>155</v>
      </c>
      <c r="C40" t="s">
        <v>64</v>
      </c>
      <c r="D40">
        <v>25000</v>
      </c>
      <c r="E40">
        <v>4000</v>
      </c>
      <c r="F40">
        <v>0</v>
      </c>
      <c r="G40">
        <v>0</v>
      </c>
      <c r="H40">
        <v>0</v>
      </c>
      <c r="I40" t="s">
        <v>193</v>
      </c>
      <c r="J40" s="55">
        <v>0.41666666666666702</v>
      </c>
      <c r="K40" s="87">
        <v>1</v>
      </c>
      <c r="L40">
        <v>1</v>
      </c>
      <c r="M40">
        <v>1</v>
      </c>
      <c r="N40">
        <v>1</v>
      </c>
      <c r="O40">
        <v>1</v>
      </c>
      <c r="P40">
        <v>1</v>
      </c>
      <c r="Q40">
        <v>1</v>
      </c>
      <c r="AD40">
        <v>0.21999999999999997</v>
      </c>
      <c r="AE40">
        <v>10.000000000000009</v>
      </c>
      <c r="AF40">
        <v>0.21000000000000002</v>
      </c>
      <c r="AG40">
        <v>10.000000000000009</v>
      </c>
    </row>
    <row r="41" spans="1:33" x14ac:dyDescent="0.25">
      <c r="A41">
        <v>831</v>
      </c>
      <c r="B41" t="s">
        <v>156</v>
      </c>
      <c r="C41" t="s">
        <v>64</v>
      </c>
      <c r="D41">
        <v>45000</v>
      </c>
      <c r="E41">
        <v>7000</v>
      </c>
      <c r="F41">
        <v>0</v>
      </c>
      <c r="G41">
        <v>0</v>
      </c>
      <c r="H41">
        <v>0</v>
      </c>
      <c r="I41" t="s">
        <v>193</v>
      </c>
      <c r="J41" s="55">
        <v>0.41666666666666702</v>
      </c>
      <c r="K41" s="87">
        <v>1</v>
      </c>
      <c r="L41">
        <v>1</v>
      </c>
      <c r="M41">
        <v>1</v>
      </c>
      <c r="N41">
        <v>1</v>
      </c>
      <c r="O41">
        <v>1</v>
      </c>
      <c r="P41">
        <v>1</v>
      </c>
      <c r="Q41">
        <v>1</v>
      </c>
      <c r="AD41">
        <v>0.21999999999999997</v>
      </c>
      <c r="AE41">
        <v>10.000000000000009</v>
      </c>
      <c r="AF41">
        <v>0.21000000000000002</v>
      </c>
      <c r="AG41">
        <v>10.000000000000009</v>
      </c>
    </row>
    <row r="42" spans="1:33" x14ac:dyDescent="0.25">
      <c r="A42">
        <v>832</v>
      </c>
      <c r="B42" t="s">
        <v>157</v>
      </c>
      <c r="C42" t="s">
        <v>64</v>
      </c>
      <c r="D42">
        <v>45000</v>
      </c>
      <c r="E42">
        <v>3000</v>
      </c>
      <c r="F42">
        <v>0</v>
      </c>
      <c r="G42">
        <v>0</v>
      </c>
      <c r="H42">
        <v>0</v>
      </c>
      <c r="I42" t="s">
        <v>193</v>
      </c>
      <c r="J42" s="55">
        <v>0.41666666666666702</v>
      </c>
      <c r="K42" s="87">
        <v>1</v>
      </c>
      <c r="L42">
        <v>1</v>
      </c>
      <c r="M42">
        <v>1</v>
      </c>
      <c r="N42">
        <v>1</v>
      </c>
      <c r="O42">
        <v>1</v>
      </c>
      <c r="P42">
        <v>1</v>
      </c>
      <c r="Q42">
        <v>1</v>
      </c>
      <c r="AD42">
        <v>0.21999999999999997</v>
      </c>
      <c r="AE42">
        <v>10.000000000000009</v>
      </c>
      <c r="AF42">
        <v>0.21000000000000002</v>
      </c>
      <c r="AG42">
        <v>10.000000000000009</v>
      </c>
    </row>
    <row r="43" spans="1:33" x14ac:dyDescent="0.25">
      <c r="A43">
        <v>833</v>
      </c>
      <c r="B43" t="s">
        <v>158</v>
      </c>
      <c r="C43" t="s">
        <v>64</v>
      </c>
      <c r="D43">
        <v>45000</v>
      </c>
      <c r="E43">
        <v>1200</v>
      </c>
      <c r="F43">
        <v>0</v>
      </c>
      <c r="G43">
        <v>0</v>
      </c>
      <c r="H43">
        <v>0</v>
      </c>
      <c r="I43" t="s">
        <v>193</v>
      </c>
      <c r="J43" s="55">
        <v>0.41666666666666702</v>
      </c>
      <c r="K43" s="87">
        <v>1</v>
      </c>
      <c r="L43">
        <v>1</v>
      </c>
      <c r="M43">
        <v>1</v>
      </c>
      <c r="N43">
        <v>1</v>
      </c>
      <c r="O43">
        <v>1</v>
      </c>
      <c r="P43">
        <v>1</v>
      </c>
      <c r="Q43">
        <v>1</v>
      </c>
      <c r="AD43">
        <v>0.21999999999999997</v>
      </c>
      <c r="AE43">
        <v>10.000000000000009</v>
      </c>
      <c r="AF43">
        <v>0.21000000000000002</v>
      </c>
      <c r="AG43">
        <v>10.000000000000009</v>
      </c>
    </row>
    <row r="44" spans="1:33" x14ac:dyDescent="0.25">
      <c r="A44">
        <v>840</v>
      </c>
      <c r="B44" t="s">
        <v>159</v>
      </c>
      <c r="C44" t="s">
        <v>64</v>
      </c>
      <c r="D44">
        <v>45000</v>
      </c>
      <c r="E44">
        <v>2000</v>
      </c>
      <c r="F44">
        <v>0</v>
      </c>
      <c r="G44">
        <v>0</v>
      </c>
      <c r="H44">
        <v>0</v>
      </c>
      <c r="I44" t="s">
        <v>193</v>
      </c>
      <c r="J44" s="55">
        <v>0.41666666666666702</v>
      </c>
      <c r="K44" s="87">
        <v>1</v>
      </c>
      <c r="L44">
        <v>1</v>
      </c>
      <c r="M44">
        <v>1</v>
      </c>
      <c r="N44">
        <v>1</v>
      </c>
      <c r="O44">
        <v>1</v>
      </c>
      <c r="P44">
        <v>1</v>
      </c>
      <c r="Q44">
        <v>1</v>
      </c>
      <c r="AD44">
        <v>0.21999999999999997</v>
      </c>
      <c r="AE44">
        <v>10.000000000000009</v>
      </c>
      <c r="AF44">
        <v>0.21000000000000002</v>
      </c>
      <c r="AG44">
        <v>10.000000000000009</v>
      </c>
    </row>
    <row r="45" spans="1:33" x14ac:dyDescent="0.25">
      <c r="A45">
        <v>841</v>
      </c>
      <c r="B45" t="s">
        <v>160</v>
      </c>
      <c r="C45" t="s">
        <v>64</v>
      </c>
      <c r="D45">
        <v>45000</v>
      </c>
      <c r="E45">
        <v>2500</v>
      </c>
      <c r="F45">
        <v>0</v>
      </c>
      <c r="G45">
        <v>0</v>
      </c>
      <c r="H45">
        <v>0</v>
      </c>
      <c r="I45" t="s">
        <v>193</v>
      </c>
      <c r="J45" s="55">
        <v>0.41666666666666702</v>
      </c>
      <c r="K45" s="87">
        <v>1</v>
      </c>
      <c r="L45">
        <v>1</v>
      </c>
      <c r="M45">
        <v>1</v>
      </c>
      <c r="N45">
        <v>1</v>
      </c>
      <c r="O45">
        <v>1</v>
      </c>
      <c r="P45">
        <v>1</v>
      </c>
      <c r="Q45">
        <v>1</v>
      </c>
      <c r="AD45">
        <v>0.21999999999999997</v>
      </c>
      <c r="AE45">
        <v>10.000000000000009</v>
      </c>
      <c r="AF45">
        <v>0.21000000000000002</v>
      </c>
      <c r="AG45">
        <v>10.000000000000009</v>
      </c>
    </row>
    <row r="46" spans="1:33" x14ac:dyDescent="0.25">
      <c r="A46">
        <v>842</v>
      </c>
      <c r="B46" t="s">
        <v>161</v>
      </c>
      <c r="C46" t="s">
        <v>64</v>
      </c>
      <c r="D46">
        <v>45000</v>
      </c>
      <c r="E46">
        <v>2400</v>
      </c>
      <c r="F46">
        <v>0</v>
      </c>
      <c r="G46">
        <v>0</v>
      </c>
      <c r="H46">
        <v>0</v>
      </c>
      <c r="I46" t="s">
        <v>193</v>
      </c>
      <c r="J46" s="55">
        <v>0.41666666666666702</v>
      </c>
      <c r="K46" s="87">
        <v>1</v>
      </c>
      <c r="L46">
        <v>1</v>
      </c>
      <c r="M46">
        <v>1</v>
      </c>
      <c r="N46">
        <v>1</v>
      </c>
      <c r="O46">
        <v>1</v>
      </c>
      <c r="P46">
        <v>1</v>
      </c>
      <c r="Q46">
        <v>1</v>
      </c>
      <c r="AD46">
        <v>0.21999999999999997</v>
      </c>
      <c r="AE46">
        <v>10.000000000000009</v>
      </c>
      <c r="AF46">
        <v>0.21000000000000002</v>
      </c>
      <c r="AG46">
        <v>10.000000000000009</v>
      </c>
    </row>
    <row r="47" spans="1:33" x14ac:dyDescent="0.25">
      <c r="A47">
        <v>847</v>
      </c>
      <c r="B47" t="s">
        <v>162</v>
      </c>
      <c r="C47" t="s">
        <v>64</v>
      </c>
      <c r="D47">
        <v>45000</v>
      </c>
      <c r="E47">
        <v>1700</v>
      </c>
      <c r="F47">
        <v>0</v>
      </c>
      <c r="G47">
        <v>0</v>
      </c>
      <c r="H47">
        <v>0</v>
      </c>
      <c r="I47" t="s">
        <v>193</v>
      </c>
      <c r="J47" s="55">
        <v>0.41666666666666702</v>
      </c>
      <c r="K47" s="87">
        <v>1</v>
      </c>
      <c r="L47">
        <v>1</v>
      </c>
      <c r="M47">
        <v>1</v>
      </c>
      <c r="N47">
        <v>1</v>
      </c>
      <c r="O47">
        <v>1</v>
      </c>
      <c r="P47">
        <v>1</v>
      </c>
      <c r="Q47">
        <v>1</v>
      </c>
      <c r="AD47">
        <v>0.21999999999999997</v>
      </c>
      <c r="AE47">
        <v>10.000000000000009</v>
      </c>
      <c r="AF47">
        <v>0.21000000000000002</v>
      </c>
      <c r="AG47">
        <v>10.000000000000009</v>
      </c>
    </row>
    <row r="48" spans="1:33" x14ac:dyDescent="0.25">
      <c r="A48">
        <v>877</v>
      </c>
      <c r="B48" t="s">
        <v>163</v>
      </c>
      <c r="C48" t="s">
        <v>64</v>
      </c>
      <c r="D48">
        <v>45000</v>
      </c>
      <c r="E48">
        <v>8000</v>
      </c>
      <c r="F48">
        <v>0</v>
      </c>
      <c r="G48">
        <v>0</v>
      </c>
      <c r="H48">
        <v>0</v>
      </c>
      <c r="I48" t="s">
        <v>193</v>
      </c>
      <c r="J48" s="55">
        <v>0.41666666666666702</v>
      </c>
      <c r="K48" s="87">
        <v>1</v>
      </c>
      <c r="L48">
        <v>1</v>
      </c>
      <c r="M48">
        <v>1</v>
      </c>
      <c r="N48">
        <v>1</v>
      </c>
      <c r="O48">
        <v>1</v>
      </c>
      <c r="P48">
        <v>1</v>
      </c>
      <c r="Q48">
        <v>1</v>
      </c>
      <c r="AD48">
        <v>0.21999999999999997</v>
      </c>
      <c r="AE48">
        <v>10.000000000000009</v>
      </c>
      <c r="AF48">
        <v>0.21000000000000002</v>
      </c>
      <c r="AG48">
        <v>10.000000000000009</v>
      </c>
    </row>
    <row r="49" spans="1:33" x14ac:dyDescent="0.25">
      <c r="A49">
        <v>898</v>
      </c>
      <c r="B49" t="s">
        <v>164</v>
      </c>
      <c r="C49" t="s">
        <v>64</v>
      </c>
      <c r="D49">
        <v>45000</v>
      </c>
      <c r="E49">
        <v>11000</v>
      </c>
      <c r="F49">
        <v>0</v>
      </c>
      <c r="G49">
        <v>0</v>
      </c>
      <c r="H49">
        <v>0</v>
      </c>
      <c r="I49" t="s">
        <v>193</v>
      </c>
      <c r="J49" s="55">
        <v>0.41666666666666702</v>
      </c>
      <c r="K49" s="87">
        <v>1</v>
      </c>
      <c r="L49">
        <v>1</v>
      </c>
      <c r="M49">
        <v>1</v>
      </c>
      <c r="N49">
        <v>1</v>
      </c>
      <c r="O49">
        <v>1</v>
      </c>
      <c r="P49">
        <v>1</v>
      </c>
      <c r="Q49">
        <v>1</v>
      </c>
      <c r="AD49">
        <v>0.21999999999999997</v>
      </c>
      <c r="AE49">
        <v>10.000000000000009</v>
      </c>
      <c r="AF49">
        <v>0.21000000000000002</v>
      </c>
      <c r="AG49">
        <v>10.000000000000009</v>
      </c>
    </row>
    <row r="50" spans="1:33" x14ac:dyDescent="0.25">
      <c r="A50">
        <v>899</v>
      </c>
      <c r="B50" t="s">
        <v>165</v>
      </c>
      <c r="C50" t="s">
        <v>64</v>
      </c>
      <c r="D50">
        <v>45000</v>
      </c>
      <c r="E50">
        <v>6000</v>
      </c>
      <c r="F50">
        <v>0</v>
      </c>
      <c r="G50">
        <v>0</v>
      </c>
      <c r="H50">
        <v>0</v>
      </c>
      <c r="I50" t="s">
        <v>193</v>
      </c>
      <c r="J50" s="55">
        <v>0.41666666666666702</v>
      </c>
      <c r="K50" s="87">
        <v>1</v>
      </c>
      <c r="L50">
        <v>1</v>
      </c>
      <c r="M50">
        <v>1</v>
      </c>
      <c r="N50">
        <v>1</v>
      </c>
      <c r="O50">
        <v>1</v>
      </c>
      <c r="P50">
        <v>1</v>
      </c>
      <c r="Q50">
        <v>1</v>
      </c>
      <c r="AD50">
        <v>0.21999999999999997</v>
      </c>
      <c r="AE50">
        <v>10.000000000000009</v>
      </c>
      <c r="AF50">
        <v>0.21000000000000002</v>
      </c>
      <c r="AG50">
        <v>10.000000000000009</v>
      </c>
    </row>
    <row r="51" spans="1:33" x14ac:dyDescent="0.25">
      <c r="A51">
        <v>1912</v>
      </c>
      <c r="B51" t="s">
        <v>166</v>
      </c>
      <c r="C51" t="s">
        <v>64</v>
      </c>
      <c r="D51">
        <v>45000</v>
      </c>
      <c r="E51">
        <v>1500</v>
      </c>
      <c r="F51">
        <v>0</v>
      </c>
      <c r="G51">
        <v>0</v>
      </c>
      <c r="H51">
        <v>0</v>
      </c>
      <c r="I51" t="s">
        <v>193</v>
      </c>
      <c r="J51" s="55">
        <v>0.41666666666666702</v>
      </c>
      <c r="K51" s="87">
        <v>1</v>
      </c>
      <c r="L51">
        <v>1</v>
      </c>
      <c r="M51">
        <v>1</v>
      </c>
      <c r="N51">
        <v>1</v>
      </c>
      <c r="O51">
        <v>1</v>
      </c>
      <c r="P51">
        <v>1</v>
      </c>
      <c r="Q51">
        <v>1</v>
      </c>
      <c r="AD51">
        <v>0.21999999999999997</v>
      </c>
      <c r="AE51">
        <v>10.000000000000009</v>
      </c>
      <c r="AF51">
        <v>0.21000000000000002</v>
      </c>
      <c r="AG51">
        <v>10.000000000000009</v>
      </c>
    </row>
  </sheetData>
  <pageMargins left="0.7" right="0.7" top="0.75" bottom="0.75" header="0.3" footer="0.3"/>
  <pageSetup paperSize="9" orientation="portrait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AG51"/>
  <sheetViews>
    <sheetView showGridLines="0" workbookViewId="0">
      <selection activeCell="B2" sqref="B2"/>
    </sheetView>
  </sheetViews>
  <sheetFormatPr defaultRowHeight="15" x14ac:dyDescent="0.25"/>
  <sheetData>
    <row r="1" spans="1:33" ht="15" customHeight="1" x14ac:dyDescent="0.25">
      <c r="B1" s="15" t="s">
        <v>4</v>
      </c>
      <c r="C1" s="15" t="s">
        <v>5</v>
      </c>
      <c r="D1" s="15" t="s">
        <v>6</v>
      </c>
      <c r="E1" s="15" t="s">
        <v>7</v>
      </c>
      <c r="F1" s="15" t="s">
        <v>8</v>
      </c>
      <c r="G1" s="15" t="s">
        <v>9</v>
      </c>
      <c r="H1" s="15" t="s">
        <v>10</v>
      </c>
      <c r="I1" s="56" t="s">
        <v>168</v>
      </c>
      <c r="J1" s="57" t="s">
        <v>169</v>
      </c>
      <c r="K1" s="57" t="s">
        <v>170</v>
      </c>
      <c r="L1" s="57" t="s">
        <v>171</v>
      </c>
      <c r="M1" s="70" t="s">
        <v>194</v>
      </c>
      <c r="N1" s="57" t="s">
        <v>195</v>
      </c>
      <c r="O1" s="57" t="s">
        <v>196</v>
      </c>
      <c r="P1" s="57" t="s">
        <v>197</v>
      </c>
      <c r="Q1" s="57" t="s">
        <v>198</v>
      </c>
      <c r="R1" s="57" t="s">
        <v>199</v>
      </c>
      <c r="S1" s="57" t="s">
        <v>200</v>
      </c>
      <c r="T1" s="57" t="s">
        <v>201</v>
      </c>
      <c r="U1" s="57" t="s">
        <v>202</v>
      </c>
      <c r="V1" s="70" t="s">
        <v>203</v>
      </c>
      <c r="W1" s="57" t="s">
        <v>204</v>
      </c>
      <c r="X1" s="57" t="s">
        <v>205</v>
      </c>
      <c r="Y1" s="57" t="s">
        <v>206</v>
      </c>
      <c r="Z1" s="57" t="s">
        <v>207</v>
      </c>
      <c r="AA1" s="57" t="s">
        <v>208</v>
      </c>
      <c r="AB1" s="57" t="s">
        <v>209</v>
      </c>
      <c r="AC1" s="57" t="s">
        <v>210</v>
      </c>
      <c r="AD1" s="57" t="s">
        <v>211</v>
      </c>
      <c r="AE1" s="57" t="s">
        <v>212</v>
      </c>
      <c r="AF1" s="57" t="s">
        <v>172</v>
      </c>
    </row>
    <row r="2" spans="1:33" x14ac:dyDescent="0.25">
      <c r="A2" s="15">
        <v>1</v>
      </c>
      <c r="B2">
        <v>9000</v>
      </c>
      <c r="C2">
        <v>9500</v>
      </c>
      <c r="D2">
        <v>7500</v>
      </c>
      <c r="E2">
        <v>3500</v>
      </c>
      <c r="F2">
        <v>2500</v>
      </c>
      <c r="G2">
        <v>3300</v>
      </c>
      <c r="H2">
        <v>6500</v>
      </c>
      <c r="I2" s="71">
        <v>0.02</v>
      </c>
      <c r="J2" s="71">
        <v>0.02</v>
      </c>
      <c r="K2" s="71">
        <v>0.02</v>
      </c>
      <c r="L2" s="71">
        <v>0.01</v>
      </c>
      <c r="M2" s="71">
        <v>0.01</v>
      </c>
      <c r="N2" s="71">
        <v>0.01</v>
      </c>
      <c r="O2" s="71">
        <v>0.02</v>
      </c>
      <c r="P2" s="71">
        <v>0.02</v>
      </c>
      <c r="Q2" s="71">
        <v>0.02</v>
      </c>
      <c r="R2" s="71">
        <v>7.0000000000000007E-2</v>
      </c>
      <c r="S2" s="71">
        <v>0.08</v>
      </c>
      <c r="T2" s="71">
        <v>0.08</v>
      </c>
      <c r="U2" s="71">
        <v>0.08</v>
      </c>
      <c r="V2" s="71">
        <v>0.08</v>
      </c>
      <c r="W2" s="71">
        <v>0.08</v>
      </c>
      <c r="X2" s="71">
        <v>7.0000000000000007E-2</v>
      </c>
      <c r="Y2" s="71">
        <v>7.0000000000000007E-2</v>
      </c>
      <c r="Z2" s="71">
        <v>7.0000000000000007E-2</v>
      </c>
      <c r="AA2" s="71">
        <v>0.03</v>
      </c>
      <c r="AB2" s="71">
        <v>0.03</v>
      </c>
      <c r="AC2" s="71">
        <v>0.03</v>
      </c>
      <c r="AD2" s="71">
        <v>0.03</v>
      </c>
      <c r="AE2" s="71">
        <v>0.03</v>
      </c>
      <c r="AF2" s="71">
        <v>0.02</v>
      </c>
      <c r="AG2" s="71">
        <f>SUM(I2:AF2)</f>
        <v>1.0000000000000002</v>
      </c>
    </row>
    <row r="3" spans="1:33" x14ac:dyDescent="0.25">
      <c r="A3" s="15">
        <v>3</v>
      </c>
      <c r="B3">
        <v>5500</v>
      </c>
      <c r="C3">
        <v>3000</v>
      </c>
      <c r="D3">
        <v>3000</v>
      </c>
      <c r="E3">
        <v>4600</v>
      </c>
      <c r="F3">
        <v>4000</v>
      </c>
      <c r="G3">
        <v>6700</v>
      </c>
      <c r="H3">
        <v>7100</v>
      </c>
      <c r="I3" s="71">
        <v>0.02</v>
      </c>
      <c r="J3" s="71">
        <v>0.02</v>
      </c>
      <c r="K3" s="71">
        <v>0.02</v>
      </c>
      <c r="L3" s="71">
        <v>0.01</v>
      </c>
      <c r="M3" s="71">
        <v>0.01</v>
      </c>
      <c r="N3" s="71">
        <v>0.01</v>
      </c>
      <c r="O3" s="71">
        <v>0.02</v>
      </c>
      <c r="P3" s="71">
        <v>0.02</v>
      </c>
      <c r="Q3" s="71">
        <v>0.02</v>
      </c>
      <c r="R3" s="71">
        <v>7.0000000000000007E-2</v>
      </c>
      <c r="S3" s="71">
        <v>0.08</v>
      </c>
      <c r="T3" s="71">
        <v>0.08</v>
      </c>
      <c r="U3" s="71">
        <v>0.08</v>
      </c>
      <c r="V3" s="71">
        <v>0.08</v>
      </c>
      <c r="W3" s="71">
        <v>0.08</v>
      </c>
      <c r="X3" s="71">
        <v>7.0000000000000007E-2</v>
      </c>
      <c r="Y3" s="71">
        <v>7.0000000000000007E-2</v>
      </c>
      <c r="Z3" s="71">
        <v>7.0000000000000007E-2</v>
      </c>
      <c r="AA3" s="71">
        <v>0.03</v>
      </c>
      <c r="AB3" s="71">
        <v>0.03</v>
      </c>
      <c r="AC3" s="71">
        <v>0.03</v>
      </c>
      <c r="AD3" s="71">
        <v>0.03</v>
      </c>
      <c r="AE3" s="71">
        <v>0.03</v>
      </c>
      <c r="AF3" s="71">
        <v>0.02</v>
      </c>
      <c r="AG3" s="71">
        <f t="shared" ref="AG3:AG51" si="0">SUM(I3:AF3)</f>
        <v>1.0000000000000002</v>
      </c>
    </row>
    <row r="4" spans="1:33" x14ac:dyDescent="0.25">
      <c r="A4" s="15">
        <v>5</v>
      </c>
      <c r="B4">
        <v>4500</v>
      </c>
      <c r="C4">
        <v>5600</v>
      </c>
      <c r="D4">
        <v>6000</v>
      </c>
      <c r="E4">
        <v>10000</v>
      </c>
      <c r="F4">
        <v>8000</v>
      </c>
      <c r="G4">
        <v>3500</v>
      </c>
      <c r="H4">
        <v>6800</v>
      </c>
      <c r="I4" s="71">
        <v>0.02</v>
      </c>
      <c r="J4" s="71">
        <v>0.02</v>
      </c>
      <c r="K4" s="71">
        <v>0.02</v>
      </c>
      <c r="L4" s="71">
        <v>0.01</v>
      </c>
      <c r="M4" s="71">
        <v>0.01</v>
      </c>
      <c r="N4" s="71">
        <v>0.01</v>
      </c>
      <c r="O4" s="71">
        <v>0.02</v>
      </c>
      <c r="P4" s="71">
        <v>0.02</v>
      </c>
      <c r="Q4" s="71">
        <v>0.02</v>
      </c>
      <c r="R4" s="71">
        <v>7.0000000000000007E-2</v>
      </c>
      <c r="S4" s="71">
        <v>0.08</v>
      </c>
      <c r="T4" s="71">
        <v>0.08</v>
      </c>
      <c r="U4" s="71">
        <v>0.08</v>
      </c>
      <c r="V4" s="71">
        <v>0.08</v>
      </c>
      <c r="W4" s="71">
        <v>0.08</v>
      </c>
      <c r="X4" s="71">
        <v>7.0000000000000007E-2</v>
      </c>
      <c r="Y4" s="71">
        <v>7.0000000000000007E-2</v>
      </c>
      <c r="Z4" s="71">
        <v>7.0000000000000007E-2</v>
      </c>
      <c r="AA4" s="71">
        <v>0.03</v>
      </c>
      <c r="AB4" s="71">
        <v>0.03</v>
      </c>
      <c r="AC4" s="71">
        <v>0.03</v>
      </c>
      <c r="AD4" s="71">
        <v>0.03</v>
      </c>
      <c r="AE4" s="71">
        <v>0.03</v>
      </c>
      <c r="AF4" s="71">
        <v>0.02</v>
      </c>
      <c r="AG4" s="71">
        <f t="shared" si="0"/>
        <v>1.0000000000000002</v>
      </c>
    </row>
    <row r="5" spans="1:33" x14ac:dyDescent="0.25">
      <c r="A5" s="15">
        <v>11</v>
      </c>
      <c r="B5">
        <v>5900</v>
      </c>
      <c r="C5">
        <v>8700</v>
      </c>
      <c r="D5">
        <v>6900</v>
      </c>
      <c r="E5">
        <v>9300</v>
      </c>
      <c r="F5">
        <v>9200</v>
      </c>
      <c r="G5">
        <v>7500</v>
      </c>
      <c r="H5">
        <v>9000</v>
      </c>
      <c r="I5" s="71">
        <v>0.02</v>
      </c>
      <c r="J5" s="71">
        <v>0.02</v>
      </c>
      <c r="K5" s="71">
        <v>0.02</v>
      </c>
      <c r="L5" s="71">
        <v>0.01</v>
      </c>
      <c r="M5" s="71">
        <v>0.01</v>
      </c>
      <c r="N5" s="71">
        <v>0.01</v>
      </c>
      <c r="O5" s="71">
        <v>0.02</v>
      </c>
      <c r="P5" s="71">
        <v>0.02</v>
      </c>
      <c r="Q5" s="71">
        <v>0.02</v>
      </c>
      <c r="R5" s="71">
        <v>7.0000000000000007E-2</v>
      </c>
      <c r="S5" s="71">
        <v>0.08</v>
      </c>
      <c r="T5" s="71">
        <v>0.08</v>
      </c>
      <c r="U5" s="71">
        <v>0.08</v>
      </c>
      <c r="V5" s="71">
        <v>0.08</v>
      </c>
      <c r="W5" s="71">
        <v>0.08</v>
      </c>
      <c r="X5" s="71">
        <v>7.0000000000000007E-2</v>
      </c>
      <c r="Y5" s="71">
        <v>7.0000000000000007E-2</v>
      </c>
      <c r="Z5" s="71">
        <v>7.0000000000000007E-2</v>
      </c>
      <c r="AA5" s="71">
        <v>0.03</v>
      </c>
      <c r="AB5" s="71">
        <v>0.03</v>
      </c>
      <c r="AC5" s="71">
        <v>0.03</v>
      </c>
      <c r="AD5" s="71">
        <v>0.03</v>
      </c>
      <c r="AE5" s="71">
        <v>0.03</v>
      </c>
      <c r="AF5" s="71">
        <v>0.02</v>
      </c>
      <c r="AG5" s="71">
        <f t="shared" si="0"/>
        <v>1.0000000000000002</v>
      </c>
    </row>
    <row r="6" spans="1:33" x14ac:dyDescent="0.25">
      <c r="A6" s="15">
        <v>12</v>
      </c>
      <c r="B6">
        <v>5200</v>
      </c>
      <c r="C6">
        <v>5200</v>
      </c>
      <c r="D6">
        <v>5400</v>
      </c>
      <c r="E6">
        <v>4600</v>
      </c>
      <c r="F6">
        <v>7800</v>
      </c>
      <c r="G6">
        <v>9200</v>
      </c>
      <c r="H6">
        <v>8000</v>
      </c>
      <c r="I6" s="71">
        <v>0.02</v>
      </c>
      <c r="J6" s="71">
        <v>0.02</v>
      </c>
      <c r="K6" s="71">
        <v>0.02</v>
      </c>
      <c r="L6" s="71">
        <v>0.01</v>
      </c>
      <c r="M6" s="71">
        <v>0.01</v>
      </c>
      <c r="N6" s="71">
        <v>0.01</v>
      </c>
      <c r="O6" s="71">
        <v>0.02</v>
      </c>
      <c r="P6" s="71">
        <v>0.02</v>
      </c>
      <c r="Q6" s="71">
        <v>0.02</v>
      </c>
      <c r="R6" s="71">
        <v>7.0000000000000007E-2</v>
      </c>
      <c r="S6" s="71">
        <v>0.08</v>
      </c>
      <c r="T6" s="71">
        <v>0.08</v>
      </c>
      <c r="U6" s="71">
        <v>0.08</v>
      </c>
      <c r="V6" s="71">
        <v>0.08</v>
      </c>
      <c r="W6" s="71">
        <v>0.08</v>
      </c>
      <c r="X6" s="71">
        <v>7.0000000000000007E-2</v>
      </c>
      <c r="Y6" s="71">
        <v>7.0000000000000007E-2</v>
      </c>
      <c r="Z6" s="71">
        <v>7.0000000000000007E-2</v>
      </c>
      <c r="AA6" s="71">
        <v>0.03</v>
      </c>
      <c r="AB6" s="71">
        <v>0.03</v>
      </c>
      <c r="AC6" s="71">
        <v>0.03</v>
      </c>
      <c r="AD6" s="71">
        <v>0.03</v>
      </c>
      <c r="AE6" s="71">
        <v>0.03</v>
      </c>
      <c r="AF6" s="71">
        <v>0.02</v>
      </c>
      <c r="AG6" s="71">
        <f t="shared" si="0"/>
        <v>1.0000000000000002</v>
      </c>
    </row>
    <row r="7" spans="1:33" x14ac:dyDescent="0.25">
      <c r="A7" s="15">
        <v>29</v>
      </c>
      <c r="B7">
        <v>3900</v>
      </c>
      <c r="C7">
        <v>5600</v>
      </c>
      <c r="D7">
        <v>3700</v>
      </c>
      <c r="E7">
        <v>8900</v>
      </c>
      <c r="F7">
        <v>8000</v>
      </c>
      <c r="G7">
        <v>8600</v>
      </c>
      <c r="H7">
        <v>9400</v>
      </c>
      <c r="I7" s="71">
        <v>0.02</v>
      </c>
      <c r="J7" s="71">
        <v>0.02</v>
      </c>
      <c r="K7" s="71">
        <v>0.02</v>
      </c>
      <c r="L7" s="71">
        <v>0.01</v>
      </c>
      <c r="M7" s="71">
        <v>0.01</v>
      </c>
      <c r="N7" s="71">
        <v>0.01</v>
      </c>
      <c r="O7" s="71">
        <v>0.02</v>
      </c>
      <c r="P7" s="71">
        <v>0.02</v>
      </c>
      <c r="Q7" s="71">
        <v>0.02</v>
      </c>
      <c r="R7" s="71">
        <v>7.0000000000000007E-2</v>
      </c>
      <c r="S7" s="71">
        <v>0.08</v>
      </c>
      <c r="T7" s="71">
        <v>0.08</v>
      </c>
      <c r="U7" s="71">
        <v>0.08</v>
      </c>
      <c r="V7" s="71">
        <v>0.08</v>
      </c>
      <c r="W7" s="71">
        <v>0.08</v>
      </c>
      <c r="X7" s="71">
        <v>7.0000000000000007E-2</v>
      </c>
      <c r="Y7" s="71">
        <v>7.0000000000000007E-2</v>
      </c>
      <c r="Z7" s="71">
        <v>7.0000000000000007E-2</v>
      </c>
      <c r="AA7" s="71">
        <v>0.03</v>
      </c>
      <c r="AB7" s="71">
        <v>0.03</v>
      </c>
      <c r="AC7" s="71">
        <v>0.03</v>
      </c>
      <c r="AD7" s="71">
        <v>0.03</v>
      </c>
      <c r="AE7" s="71">
        <v>0.03</v>
      </c>
      <c r="AF7" s="71">
        <v>0.02</v>
      </c>
      <c r="AG7" s="71">
        <f t="shared" si="0"/>
        <v>1.0000000000000002</v>
      </c>
    </row>
    <row r="8" spans="1:33" x14ac:dyDescent="0.25">
      <c r="A8" s="15">
        <v>70</v>
      </c>
      <c r="B8">
        <v>2600</v>
      </c>
      <c r="C8">
        <v>7700</v>
      </c>
      <c r="D8">
        <v>6100</v>
      </c>
      <c r="E8">
        <v>7900</v>
      </c>
      <c r="F8">
        <v>9800</v>
      </c>
      <c r="G8">
        <v>7000</v>
      </c>
      <c r="H8">
        <v>3200</v>
      </c>
      <c r="I8" s="71">
        <v>0.02</v>
      </c>
      <c r="J8" s="71">
        <v>0.02</v>
      </c>
      <c r="K8" s="71">
        <v>0.02</v>
      </c>
      <c r="L8" s="71">
        <v>0.01</v>
      </c>
      <c r="M8" s="71">
        <v>0.01</v>
      </c>
      <c r="N8" s="71">
        <v>0.01</v>
      </c>
      <c r="O8" s="71">
        <v>0.02</v>
      </c>
      <c r="P8" s="71">
        <v>0.02</v>
      </c>
      <c r="Q8" s="71">
        <v>0.02</v>
      </c>
      <c r="R8" s="71">
        <v>7.0000000000000007E-2</v>
      </c>
      <c r="S8" s="71">
        <v>0.08</v>
      </c>
      <c r="T8" s="71">
        <v>0.08</v>
      </c>
      <c r="U8" s="71">
        <v>0.08</v>
      </c>
      <c r="V8" s="71">
        <v>0.08</v>
      </c>
      <c r="W8" s="71">
        <v>0.08</v>
      </c>
      <c r="X8" s="71">
        <v>7.0000000000000007E-2</v>
      </c>
      <c r="Y8" s="71">
        <v>7.0000000000000007E-2</v>
      </c>
      <c r="Z8" s="71">
        <v>7.0000000000000007E-2</v>
      </c>
      <c r="AA8" s="71">
        <v>0.03</v>
      </c>
      <c r="AB8" s="71">
        <v>0.03</v>
      </c>
      <c r="AC8" s="71">
        <v>0.03</v>
      </c>
      <c r="AD8" s="71">
        <v>0.03</v>
      </c>
      <c r="AE8" s="71">
        <v>0.03</v>
      </c>
      <c r="AF8" s="71">
        <v>0.02</v>
      </c>
      <c r="AG8" s="71">
        <f t="shared" si="0"/>
        <v>1.0000000000000002</v>
      </c>
    </row>
    <row r="9" spans="1:33" x14ac:dyDescent="0.25">
      <c r="A9" s="15">
        <v>71</v>
      </c>
      <c r="B9">
        <v>4800</v>
      </c>
      <c r="C9">
        <v>5100</v>
      </c>
      <c r="D9">
        <v>8100</v>
      </c>
      <c r="E9">
        <v>2800</v>
      </c>
      <c r="F9">
        <v>5400</v>
      </c>
      <c r="G9">
        <v>5800</v>
      </c>
      <c r="H9">
        <v>6700</v>
      </c>
      <c r="I9" s="71">
        <v>0.02</v>
      </c>
      <c r="J9" s="71">
        <v>0.02</v>
      </c>
      <c r="K9" s="71">
        <v>0.02</v>
      </c>
      <c r="L9" s="71">
        <v>0.01</v>
      </c>
      <c r="M9" s="71">
        <v>0.01</v>
      </c>
      <c r="N9" s="71">
        <v>0.01</v>
      </c>
      <c r="O9" s="71">
        <v>0.02</v>
      </c>
      <c r="P9" s="71">
        <v>0.02</v>
      </c>
      <c r="Q9" s="71">
        <v>0.02</v>
      </c>
      <c r="R9" s="71">
        <v>7.0000000000000007E-2</v>
      </c>
      <c r="S9" s="71">
        <v>0.08</v>
      </c>
      <c r="T9" s="71">
        <v>0.08</v>
      </c>
      <c r="U9" s="71">
        <v>0.08</v>
      </c>
      <c r="V9" s="71">
        <v>0.08</v>
      </c>
      <c r="W9" s="71">
        <v>0.08</v>
      </c>
      <c r="X9" s="71">
        <v>7.0000000000000007E-2</v>
      </c>
      <c r="Y9" s="71">
        <v>7.0000000000000007E-2</v>
      </c>
      <c r="Z9" s="71">
        <v>7.0000000000000007E-2</v>
      </c>
      <c r="AA9" s="71">
        <v>0.03</v>
      </c>
      <c r="AB9" s="71">
        <v>0.03</v>
      </c>
      <c r="AC9" s="71">
        <v>0.03</v>
      </c>
      <c r="AD9" s="71">
        <v>0.03</v>
      </c>
      <c r="AE9" s="71">
        <v>0.03</v>
      </c>
      <c r="AF9" s="71">
        <v>0.02</v>
      </c>
      <c r="AG9" s="71">
        <f t="shared" si="0"/>
        <v>1.0000000000000002</v>
      </c>
    </row>
    <row r="10" spans="1:33" x14ac:dyDescent="0.25">
      <c r="A10" s="15">
        <v>384</v>
      </c>
      <c r="B10">
        <v>8300</v>
      </c>
      <c r="C10">
        <v>4800</v>
      </c>
      <c r="D10">
        <v>6300</v>
      </c>
      <c r="E10">
        <v>6100</v>
      </c>
      <c r="F10">
        <v>6800</v>
      </c>
      <c r="G10">
        <v>3600</v>
      </c>
      <c r="H10">
        <v>6000</v>
      </c>
      <c r="I10" s="71">
        <v>0.02</v>
      </c>
      <c r="J10" s="71">
        <v>0.02</v>
      </c>
      <c r="K10" s="71">
        <v>0.02</v>
      </c>
      <c r="L10" s="71">
        <v>0.01</v>
      </c>
      <c r="M10" s="71">
        <v>0.01</v>
      </c>
      <c r="N10" s="71">
        <v>0.01</v>
      </c>
      <c r="O10" s="71">
        <v>0.02</v>
      </c>
      <c r="P10" s="71">
        <v>0.02</v>
      </c>
      <c r="Q10" s="71">
        <v>0.02</v>
      </c>
      <c r="R10" s="71">
        <v>7.0000000000000007E-2</v>
      </c>
      <c r="S10" s="71">
        <v>0.08</v>
      </c>
      <c r="T10" s="71">
        <v>0.08</v>
      </c>
      <c r="U10" s="71">
        <v>0.08</v>
      </c>
      <c r="V10" s="71">
        <v>0.08</v>
      </c>
      <c r="W10" s="71">
        <v>0.08</v>
      </c>
      <c r="X10" s="71">
        <v>7.0000000000000007E-2</v>
      </c>
      <c r="Y10" s="71">
        <v>7.0000000000000007E-2</v>
      </c>
      <c r="Z10" s="71">
        <v>7.0000000000000007E-2</v>
      </c>
      <c r="AA10" s="71">
        <v>0.03</v>
      </c>
      <c r="AB10" s="71">
        <v>0.03</v>
      </c>
      <c r="AC10" s="71">
        <v>0.03</v>
      </c>
      <c r="AD10" s="71">
        <v>0.03</v>
      </c>
      <c r="AE10" s="71">
        <v>0.03</v>
      </c>
      <c r="AF10" s="71">
        <v>0.02</v>
      </c>
      <c r="AG10" s="71">
        <f t="shared" si="0"/>
        <v>1.0000000000000002</v>
      </c>
    </row>
    <row r="11" spans="1:33" x14ac:dyDescent="0.25">
      <c r="A11" s="15">
        <v>429</v>
      </c>
      <c r="B11">
        <v>5900</v>
      </c>
      <c r="C11">
        <v>5300</v>
      </c>
      <c r="D11">
        <v>9400</v>
      </c>
      <c r="E11">
        <v>2600</v>
      </c>
      <c r="F11">
        <v>6000</v>
      </c>
      <c r="G11">
        <v>5000</v>
      </c>
      <c r="H11">
        <v>2200</v>
      </c>
      <c r="I11" s="71">
        <v>0.02</v>
      </c>
      <c r="J11" s="71">
        <v>0.02</v>
      </c>
      <c r="K11" s="71">
        <v>0.02</v>
      </c>
      <c r="L11" s="71">
        <v>0.01</v>
      </c>
      <c r="M11" s="71">
        <v>0.01</v>
      </c>
      <c r="N11" s="71">
        <v>0.01</v>
      </c>
      <c r="O11" s="71">
        <v>0.02</v>
      </c>
      <c r="P11" s="71">
        <v>0.02</v>
      </c>
      <c r="Q11" s="71">
        <v>0.02</v>
      </c>
      <c r="R11" s="71">
        <v>7.0000000000000007E-2</v>
      </c>
      <c r="S11" s="71">
        <v>0.08</v>
      </c>
      <c r="T11" s="71">
        <v>0.08</v>
      </c>
      <c r="U11" s="71">
        <v>0.08</v>
      </c>
      <c r="V11" s="71">
        <v>0.08</v>
      </c>
      <c r="W11" s="71">
        <v>0.08</v>
      </c>
      <c r="X11" s="71">
        <v>7.0000000000000007E-2</v>
      </c>
      <c r="Y11" s="71">
        <v>7.0000000000000007E-2</v>
      </c>
      <c r="Z11" s="71">
        <v>7.0000000000000007E-2</v>
      </c>
      <c r="AA11" s="71">
        <v>0.03</v>
      </c>
      <c r="AB11" s="71">
        <v>0.03</v>
      </c>
      <c r="AC11" s="71">
        <v>0.03</v>
      </c>
      <c r="AD11" s="71">
        <v>0.03</v>
      </c>
      <c r="AE11" s="71">
        <v>0.03</v>
      </c>
      <c r="AF11" s="71">
        <v>0.02</v>
      </c>
      <c r="AG11" s="71">
        <f t="shared" si="0"/>
        <v>1.0000000000000002</v>
      </c>
    </row>
    <row r="12" spans="1:33" x14ac:dyDescent="0.25">
      <c r="A12" s="15">
        <v>486</v>
      </c>
      <c r="B12">
        <v>3400</v>
      </c>
      <c r="C12">
        <v>4000</v>
      </c>
      <c r="D12">
        <v>3300</v>
      </c>
      <c r="E12">
        <v>7600</v>
      </c>
      <c r="F12">
        <v>5400</v>
      </c>
      <c r="G12">
        <v>4400</v>
      </c>
      <c r="H12">
        <v>9800</v>
      </c>
      <c r="I12" s="71">
        <v>0.02</v>
      </c>
      <c r="J12" s="71">
        <v>0.02</v>
      </c>
      <c r="K12" s="71">
        <v>0.02</v>
      </c>
      <c r="L12" s="71">
        <v>0.01</v>
      </c>
      <c r="M12" s="71">
        <v>0.01</v>
      </c>
      <c r="N12" s="71">
        <v>0.01</v>
      </c>
      <c r="O12" s="71">
        <v>0.02</v>
      </c>
      <c r="P12" s="71">
        <v>0.02</v>
      </c>
      <c r="Q12" s="71">
        <v>0.02</v>
      </c>
      <c r="R12" s="71">
        <v>7.0000000000000007E-2</v>
      </c>
      <c r="S12" s="71">
        <v>0.08</v>
      </c>
      <c r="T12" s="71">
        <v>0.08</v>
      </c>
      <c r="U12" s="71">
        <v>0.08</v>
      </c>
      <c r="V12" s="71">
        <v>0.08</v>
      </c>
      <c r="W12" s="71">
        <v>0.08</v>
      </c>
      <c r="X12" s="71">
        <v>7.0000000000000007E-2</v>
      </c>
      <c r="Y12" s="71">
        <v>7.0000000000000007E-2</v>
      </c>
      <c r="Z12" s="71">
        <v>7.0000000000000007E-2</v>
      </c>
      <c r="AA12" s="71">
        <v>0.03</v>
      </c>
      <c r="AB12" s="71">
        <v>0.03</v>
      </c>
      <c r="AC12" s="71">
        <v>0.03</v>
      </c>
      <c r="AD12" s="71">
        <v>0.03</v>
      </c>
      <c r="AE12" s="71">
        <v>0.03</v>
      </c>
      <c r="AF12" s="71">
        <v>0.02</v>
      </c>
      <c r="AG12" s="71">
        <f t="shared" si="0"/>
        <v>1.0000000000000002</v>
      </c>
    </row>
    <row r="13" spans="1:33" x14ac:dyDescent="0.25">
      <c r="A13" s="15">
        <v>546</v>
      </c>
      <c r="B13">
        <v>3700</v>
      </c>
      <c r="C13">
        <v>7900</v>
      </c>
      <c r="D13">
        <v>6200</v>
      </c>
      <c r="E13">
        <v>9400</v>
      </c>
      <c r="F13">
        <v>3300</v>
      </c>
      <c r="G13">
        <v>4200</v>
      </c>
      <c r="H13">
        <v>5100</v>
      </c>
      <c r="I13" s="71">
        <v>0.02</v>
      </c>
      <c r="J13" s="71">
        <v>0.02</v>
      </c>
      <c r="K13" s="71">
        <v>0.02</v>
      </c>
      <c r="L13" s="71">
        <v>0.01</v>
      </c>
      <c r="M13" s="71">
        <v>0.01</v>
      </c>
      <c r="N13" s="71">
        <v>0.01</v>
      </c>
      <c r="O13" s="71">
        <v>0.02</v>
      </c>
      <c r="P13" s="71">
        <v>0.02</v>
      </c>
      <c r="Q13" s="71">
        <v>0.02</v>
      </c>
      <c r="R13" s="71">
        <v>7.0000000000000007E-2</v>
      </c>
      <c r="S13" s="71">
        <v>0.08</v>
      </c>
      <c r="T13" s="71">
        <v>0.08</v>
      </c>
      <c r="U13" s="71">
        <v>0.08</v>
      </c>
      <c r="V13" s="71">
        <v>0.08</v>
      </c>
      <c r="W13" s="71">
        <v>0.08</v>
      </c>
      <c r="X13" s="71">
        <v>7.0000000000000007E-2</v>
      </c>
      <c r="Y13" s="71">
        <v>7.0000000000000007E-2</v>
      </c>
      <c r="Z13" s="71">
        <v>7.0000000000000007E-2</v>
      </c>
      <c r="AA13" s="71">
        <v>0.03</v>
      </c>
      <c r="AB13" s="71">
        <v>0.03</v>
      </c>
      <c r="AC13" s="71">
        <v>0.03</v>
      </c>
      <c r="AD13" s="71">
        <v>0.03</v>
      </c>
      <c r="AE13" s="71">
        <v>0.03</v>
      </c>
      <c r="AF13" s="71">
        <v>0.02</v>
      </c>
      <c r="AG13" s="71">
        <f t="shared" si="0"/>
        <v>1.0000000000000002</v>
      </c>
    </row>
    <row r="14" spans="1:33" x14ac:dyDescent="0.25">
      <c r="A14" s="15">
        <v>599</v>
      </c>
      <c r="B14">
        <v>5200</v>
      </c>
      <c r="C14">
        <v>9700</v>
      </c>
      <c r="D14">
        <v>6900</v>
      </c>
      <c r="E14">
        <v>9500</v>
      </c>
      <c r="F14">
        <v>9500</v>
      </c>
      <c r="G14">
        <v>8000</v>
      </c>
      <c r="H14">
        <v>9300</v>
      </c>
      <c r="I14" s="71">
        <v>0.02</v>
      </c>
      <c r="J14" s="71">
        <v>0.02</v>
      </c>
      <c r="K14" s="71">
        <v>0.02</v>
      </c>
      <c r="L14" s="71">
        <v>0.01</v>
      </c>
      <c r="M14" s="71">
        <v>0.01</v>
      </c>
      <c r="N14" s="71">
        <v>0.01</v>
      </c>
      <c r="O14" s="71">
        <v>0.02</v>
      </c>
      <c r="P14" s="71">
        <v>0.02</v>
      </c>
      <c r="Q14" s="71">
        <v>0.02</v>
      </c>
      <c r="R14" s="71">
        <v>7.0000000000000007E-2</v>
      </c>
      <c r="S14" s="71">
        <v>0.08</v>
      </c>
      <c r="T14" s="71">
        <v>0.08</v>
      </c>
      <c r="U14" s="71">
        <v>0.08</v>
      </c>
      <c r="V14" s="71">
        <v>0.08</v>
      </c>
      <c r="W14" s="71">
        <v>0.08</v>
      </c>
      <c r="X14" s="71">
        <v>7.0000000000000007E-2</v>
      </c>
      <c r="Y14" s="71">
        <v>7.0000000000000007E-2</v>
      </c>
      <c r="Z14" s="71">
        <v>7.0000000000000007E-2</v>
      </c>
      <c r="AA14" s="71">
        <v>0.03</v>
      </c>
      <c r="AB14" s="71">
        <v>0.03</v>
      </c>
      <c r="AC14" s="71">
        <v>0.03</v>
      </c>
      <c r="AD14" s="71">
        <v>0.03</v>
      </c>
      <c r="AE14" s="71">
        <v>0.03</v>
      </c>
      <c r="AF14" s="71">
        <v>0.02</v>
      </c>
      <c r="AG14" s="71">
        <f t="shared" si="0"/>
        <v>1.0000000000000002</v>
      </c>
    </row>
    <row r="15" spans="1:33" x14ac:dyDescent="0.25">
      <c r="A15" s="15">
        <v>620</v>
      </c>
      <c r="B15">
        <v>8700</v>
      </c>
      <c r="C15">
        <v>9600</v>
      </c>
      <c r="D15">
        <v>8300</v>
      </c>
      <c r="E15">
        <v>6900</v>
      </c>
      <c r="F15">
        <v>4400</v>
      </c>
      <c r="G15">
        <v>8300</v>
      </c>
      <c r="H15">
        <v>5900</v>
      </c>
      <c r="I15" s="71">
        <v>0.02</v>
      </c>
      <c r="J15" s="71">
        <v>0.02</v>
      </c>
      <c r="K15" s="71">
        <v>0.02</v>
      </c>
      <c r="L15" s="71">
        <v>0.01</v>
      </c>
      <c r="M15" s="71">
        <v>0.01</v>
      </c>
      <c r="N15" s="71">
        <v>0.01</v>
      </c>
      <c r="O15" s="71">
        <v>0.02</v>
      </c>
      <c r="P15" s="71">
        <v>0.02</v>
      </c>
      <c r="Q15" s="71">
        <v>0.02</v>
      </c>
      <c r="R15" s="71">
        <v>7.0000000000000007E-2</v>
      </c>
      <c r="S15" s="71">
        <v>0.08</v>
      </c>
      <c r="T15" s="71">
        <v>0.08</v>
      </c>
      <c r="U15" s="71">
        <v>0.08</v>
      </c>
      <c r="V15" s="71">
        <v>0.08</v>
      </c>
      <c r="W15" s="71">
        <v>0.08</v>
      </c>
      <c r="X15" s="71">
        <v>7.0000000000000007E-2</v>
      </c>
      <c r="Y15" s="71">
        <v>7.0000000000000007E-2</v>
      </c>
      <c r="Z15" s="71">
        <v>7.0000000000000007E-2</v>
      </c>
      <c r="AA15" s="71">
        <v>0.03</v>
      </c>
      <c r="AB15" s="71">
        <v>0.03</v>
      </c>
      <c r="AC15" s="71">
        <v>0.03</v>
      </c>
      <c r="AD15" s="71">
        <v>0.03</v>
      </c>
      <c r="AE15" s="71">
        <v>0.03</v>
      </c>
      <c r="AF15" s="71">
        <v>0.02</v>
      </c>
      <c r="AG15" s="71">
        <f t="shared" si="0"/>
        <v>1.0000000000000002</v>
      </c>
    </row>
    <row r="16" spans="1:33" x14ac:dyDescent="0.25">
      <c r="A16" s="15">
        <v>626</v>
      </c>
      <c r="B16">
        <v>6900</v>
      </c>
      <c r="C16">
        <v>4100</v>
      </c>
      <c r="D16">
        <v>6500</v>
      </c>
      <c r="E16">
        <v>4000</v>
      </c>
      <c r="F16">
        <v>7400</v>
      </c>
      <c r="G16">
        <v>3900</v>
      </c>
      <c r="H16">
        <v>8300</v>
      </c>
      <c r="I16" s="71">
        <v>0.02</v>
      </c>
      <c r="J16" s="71">
        <v>0.02</v>
      </c>
      <c r="K16" s="71">
        <v>0.02</v>
      </c>
      <c r="L16" s="71">
        <v>0.01</v>
      </c>
      <c r="M16" s="71">
        <v>0.01</v>
      </c>
      <c r="N16" s="71">
        <v>0.01</v>
      </c>
      <c r="O16" s="71">
        <v>0.02</v>
      </c>
      <c r="P16" s="71">
        <v>0.02</v>
      </c>
      <c r="Q16" s="71">
        <v>0.02</v>
      </c>
      <c r="R16" s="71">
        <v>7.0000000000000007E-2</v>
      </c>
      <c r="S16" s="71">
        <v>0.08</v>
      </c>
      <c r="T16" s="71">
        <v>0.08</v>
      </c>
      <c r="U16" s="71">
        <v>0.08</v>
      </c>
      <c r="V16" s="71">
        <v>0.08</v>
      </c>
      <c r="W16" s="71">
        <v>0.08</v>
      </c>
      <c r="X16" s="71">
        <v>7.0000000000000007E-2</v>
      </c>
      <c r="Y16" s="71">
        <v>7.0000000000000007E-2</v>
      </c>
      <c r="Z16" s="71">
        <v>7.0000000000000007E-2</v>
      </c>
      <c r="AA16" s="71">
        <v>0.03</v>
      </c>
      <c r="AB16" s="71">
        <v>0.03</v>
      </c>
      <c r="AC16" s="71">
        <v>0.03</v>
      </c>
      <c r="AD16" s="71">
        <v>0.03</v>
      </c>
      <c r="AE16" s="71">
        <v>0.03</v>
      </c>
      <c r="AF16" s="71">
        <v>0.02</v>
      </c>
      <c r="AG16" s="71">
        <f t="shared" si="0"/>
        <v>1.0000000000000002</v>
      </c>
    </row>
    <row r="17" spans="1:33" x14ac:dyDescent="0.25">
      <c r="A17" s="15">
        <v>627</v>
      </c>
      <c r="B17">
        <v>9000</v>
      </c>
      <c r="C17">
        <v>7300</v>
      </c>
      <c r="D17">
        <v>2100</v>
      </c>
      <c r="E17">
        <v>6600</v>
      </c>
      <c r="F17">
        <v>4800</v>
      </c>
      <c r="G17">
        <v>3800</v>
      </c>
      <c r="H17">
        <v>8900</v>
      </c>
      <c r="I17" s="71">
        <v>0.02</v>
      </c>
      <c r="J17" s="71">
        <v>0.02</v>
      </c>
      <c r="K17" s="71">
        <v>0.02</v>
      </c>
      <c r="L17" s="71">
        <v>0.01</v>
      </c>
      <c r="M17" s="71">
        <v>0.01</v>
      </c>
      <c r="N17" s="71">
        <v>0.01</v>
      </c>
      <c r="O17" s="71">
        <v>0.02</v>
      </c>
      <c r="P17" s="71">
        <v>0.02</v>
      </c>
      <c r="Q17" s="71">
        <v>0.02</v>
      </c>
      <c r="R17" s="71">
        <v>7.0000000000000007E-2</v>
      </c>
      <c r="S17" s="71">
        <v>0.08</v>
      </c>
      <c r="T17" s="71">
        <v>0.08</v>
      </c>
      <c r="U17" s="71">
        <v>0.08</v>
      </c>
      <c r="V17" s="71">
        <v>0.08</v>
      </c>
      <c r="W17" s="71">
        <v>0.08</v>
      </c>
      <c r="X17" s="71">
        <v>7.0000000000000007E-2</v>
      </c>
      <c r="Y17" s="71">
        <v>7.0000000000000007E-2</v>
      </c>
      <c r="Z17" s="71">
        <v>7.0000000000000007E-2</v>
      </c>
      <c r="AA17" s="71">
        <v>0.03</v>
      </c>
      <c r="AB17" s="71">
        <v>0.03</v>
      </c>
      <c r="AC17" s="71">
        <v>0.03</v>
      </c>
      <c r="AD17" s="71">
        <v>0.03</v>
      </c>
      <c r="AE17" s="71">
        <v>0.03</v>
      </c>
      <c r="AF17" s="71">
        <v>0.02</v>
      </c>
      <c r="AG17" s="71">
        <f t="shared" si="0"/>
        <v>1.0000000000000002</v>
      </c>
    </row>
    <row r="18" spans="1:33" x14ac:dyDescent="0.25">
      <c r="A18" s="15">
        <v>651</v>
      </c>
      <c r="B18">
        <v>6800</v>
      </c>
      <c r="C18">
        <v>4200</v>
      </c>
      <c r="D18">
        <v>8900</v>
      </c>
      <c r="E18">
        <v>4900</v>
      </c>
      <c r="F18">
        <v>9200</v>
      </c>
      <c r="G18">
        <v>7500</v>
      </c>
      <c r="H18">
        <v>5800</v>
      </c>
      <c r="I18" s="71">
        <v>0.02</v>
      </c>
      <c r="J18" s="71">
        <v>0.02</v>
      </c>
      <c r="K18" s="71">
        <v>0.02</v>
      </c>
      <c r="L18" s="71">
        <v>0.01</v>
      </c>
      <c r="M18" s="71">
        <v>0.01</v>
      </c>
      <c r="N18" s="71">
        <v>0.01</v>
      </c>
      <c r="O18" s="71">
        <v>0.02</v>
      </c>
      <c r="P18" s="71">
        <v>0.02</v>
      </c>
      <c r="Q18" s="71">
        <v>0.02</v>
      </c>
      <c r="R18" s="71">
        <v>7.0000000000000007E-2</v>
      </c>
      <c r="S18" s="71">
        <v>0.08</v>
      </c>
      <c r="T18" s="71">
        <v>0.08</v>
      </c>
      <c r="U18" s="71">
        <v>0.08</v>
      </c>
      <c r="V18" s="71">
        <v>0.08</v>
      </c>
      <c r="W18" s="71">
        <v>0.08</v>
      </c>
      <c r="X18" s="71">
        <v>7.0000000000000007E-2</v>
      </c>
      <c r="Y18" s="71">
        <v>7.0000000000000007E-2</v>
      </c>
      <c r="Z18" s="71">
        <v>7.0000000000000007E-2</v>
      </c>
      <c r="AA18" s="71">
        <v>0.03</v>
      </c>
      <c r="AB18" s="71">
        <v>0.03</v>
      </c>
      <c r="AC18" s="71">
        <v>0.03</v>
      </c>
      <c r="AD18" s="71">
        <v>0.03</v>
      </c>
      <c r="AE18" s="71">
        <v>0.03</v>
      </c>
      <c r="AF18" s="71">
        <v>0.02</v>
      </c>
      <c r="AG18" s="71">
        <f t="shared" si="0"/>
        <v>1.0000000000000002</v>
      </c>
    </row>
    <row r="19" spans="1:33" x14ac:dyDescent="0.25">
      <c r="A19" s="15">
        <v>668</v>
      </c>
      <c r="B19">
        <v>7000</v>
      </c>
      <c r="C19">
        <v>7700</v>
      </c>
      <c r="D19">
        <v>2900</v>
      </c>
      <c r="E19">
        <v>2400</v>
      </c>
      <c r="F19">
        <v>2700</v>
      </c>
      <c r="G19">
        <v>2800</v>
      </c>
      <c r="H19">
        <v>6200</v>
      </c>
      <c r="I19" s="71">
        <v>0.02</v>
      </c>
      <c r="J19" s="71">
        <v>0.02</v>
      </c>
      <c r="K19" s="71">
        <v>0.02</v>
      </c>
      <c r="L19" s="71">
        <v>0.01</v>
      </c>
      <c r="M19" s="71">
        <v>0.01</v>
      </c>
      <c r="N19" s="71">
        <v>0.01</v>
      </c>
      <c r="O19" s="71">
        <v>0.02</v>
      </c>
      <c r="P19" s="71">
        <v>0.02</v>
      </c>
      <c r="Q19" s="71">
        <v>0.02</v>
      </c>
      <c r="R19" s="71">
        <v>7.0000000000000007E-2</v>
      </c>
      <c r="S19" s="71">
        <v>0.08</v>
      </c>
      <c r="T19" s="71">
        <v>0.08</v>
      </c>
      <c r="U19" s="71">
        <v>0.08</v>
      </c>
      <c r="V19" s="71">
        <v>0.08</v>
      </c>
      <c r="W19" s="71">
        <v>0.08</v>
      </c>
      <c r="X19" s="71">
        <v>7.0000000000000007E-2</v>
      </c>
      <c r="Y19" s="71">
        <v>7.0000000000000007E-2</v>
      </c>
      <c r="Z19" s="71">
        <v>7.0000000000000007E-2</v>
      </c>
      <c r="AA19" s="71">
        <v>0.03</v>
      </c>
      <c r="AB19" s="71">
        <v>0.03</v>
      </c>
      <c r="AC19" s="71">
        <v>0.03</v>
      </c>
      <c r="AD19" s="71">
        <v>0.03</v>
      </c>
      <c r="AE19" s="71">
        <v>0.03</v>
      </c>
      <c r="AF19" s="71">
        <v>0.02</v>
      </c>
      <c r="AG19" s="71">
        <f t="shared" si="0"/>
        <v>1.0000000000000002</v>
      </c>
    </row>
    <row r="20" spans="1:33" x14ac:dyDescent="0.25">
      <c r="A20" s="15">
        <v>681</v>
      </c>
      <c r="B20">
        <v>8400</v>
      </c>
      <c r="C20">
        <v>2900</v>
      </c>
      <c r="D20">
        <v>5700</v>
      </c>
      <c r="E20">
        <v>4600</v>
      </c>
      <c r="F20">
        <v>8900</v>
      </c>
      <c r="G20">
        <v>2300</v>
      </c>
      <c r="H20">
        <v>5800</v>
      </c>
      <c r="I20" s="71">
        <v>0.02</v>
      </c>
      <c r="J20" s="71">
        <v>0.02</v>
      </c>
      <c r="K20" s="71">
        <v>0.02</v>
      </c>
      <c r="L20" s="71">
        <v>0.01</v>
      </c>
      <c r="M20" s="71">
        <v>0.01</v>
      </c>
      <c r="N20" s="71">
        <v>0.01</v>
      </c>
      <c r="O20" s="71">
        <v>0.02</v>
      </c>
      <c r="P20" s="71">
        <v>0.02</v>
      </c>
      <c r="Q20" s="71">
        <v>0.02</v>
      </c>
      <c r="R20" s="71">
        <v>7.0000000000000007E-2</v>
      </c>
      <c r="S20" s="71">
        <v>0.08</v>
      </c>
      <c r="T20" s="71">
        <v>0.08</v>
      </c>
      <c r="U20" s="71">
        <v>0.08</v>
      </c>
      <c r="V20" s="71">
        <v>0.08</v>
      </c>
      <c r="W20" s="71">
        <v>0.08</v>
      </c>
      <c r="X20" s="71">
        <v>7.0000000000000007E-2</v>
      </c>
      <c r="Y20" s="71">
        <v>7.0000000000000007E-2</v>
      </c>
      <c r="Z20" s="71">
        <v>7.0000000000000007E-2</v>
      </c>
      <c r="AA20" s="71">
        <v>0.03</v>
      </c>
      <c r="AB20" s="71">
        <v>0.03</v>
      </c>
      <c r="AC20" s="71">
        <v>0.03</v>
      </c>
      <c r="AD20" s="71">
        <v>0.03</v>
      </c>
      <c r="AE20" s="71">
        <v>0.03</v>
      </c>
      <c r="AF20" s="71">
        <v>0.02</v>
      </c>
      <c r="AG20" s="71">
        <f t="shared" si="0"/>
        <v>1.0000000000000002</v>
      </c>
    </row>
    <row r="21" spans="1:33" x14ac:dyDescent="0.25">
      <c r="A21" s="15">
        <v>682</v>
      </c>
      <c r="B21">
        <v>6800</v>
      </c>
      <c r="C21">
        <v>5500</v>
      </c>
      <c r="D21">
        <v>3200</v>
      </c>
      <c r="E21">
        <v>2700</v>
      </c>
      <c r="F21">
        <v>5600</v>
      </c>
      <c r="G21">
        <v>3400</v>
      </c>
      <c r="H21">
        <v>5900</v>
      </c>
      <c r="I21" s="71">
        <v>0.02</v>
      </c>
      <c r="J21" s="71">
        <v>0.02</v>
      </c>
      <c r="K21" s="71">
        <v>0.02</v>
      </c>
      <c r="L21" s="71">
        <v>0.01</v>
      </c>
      <c r="M21" s="71">
        <v>0.01</v>
      </c>
      <c r="N21" s="71">
        <v>0.01</v>
      </c>
      <c r="O21" s="71">
        <v>0.02</v>
      </c>
      <c r="P21" s="71">
        <v>0.02</v>
      </c>
      <c r="Q21" s="71">
        <v>0.02</v>
      </c>
      <c r="R21" s="71">
        <v>7.0000000000000007E-2</v>
      </c>
      <c r="S21" s="71">
        <v>0.08</v>
      </c>
      <c r="T21" s="71">
        <v>0.08</v>
      </c>
      <c r="U21" s="71">
        <v>0.08</v>
      </c>
      <c r="V21" s="71">
        <v>0.08</v>
      </c>
      <c r="W21" s="71">
        <v>0.08</v>
      </c>
      <c r="X21" s="71">
        <v>7.0000000000000007E-2</v>
      </c>
      <c r="Y21" s="71">
        <v>7.0000000000000007E-2</v>
      </c>
      <c r="Z21" s="71">
        <v>7.0000000000000007E-2</v>
      </c>
      <c r="AA21" s="71">
        <v>0.03</v>
      </c>
      <c r="AB21" s="71">
        <v>0.03</v>
      </c>
      <c r="AC21" s="71">
        <v>0.03</v>
      </c>
      <c r="AD21" s="71">
        <v>0.03</v>
      </c>
      <c r="AE21" s="71">
        <v>0.03</v>
      </c>
      <c r="AF21" s="71">
        <v>0.02</v>
      </c>
      <c r="AG21" s="71">
        <f t="shared" si="0"/>
        <v>1.0000000000000002</v>
      </c>
    </row>
    <row r="22" spans="1:33" x14ac:dyDescent="0.25">
      <c r="A22" s="15">
        <v>683</v>
      </c>
      <c r="B22">
        <v>6400</v>
      </c>
      <c r="C22">
        <v>9400</v>
      </c>
      <c r="D22">
        <v>7100</v>
      </c>
      <c r="E22">
        <v>6600</v>
      </c>
      <c r="F22">
        <v>3500</v>
      </c>
      <c r="G22">
        <v>9700</v>
      </c>
      <c r="H22">
        <v>2400</v>
      </c>
      <c r="I22" s="71">
        <v>0.02</v>
      </c>
      <c r="J22" s="71">
        <v>0.02</v>
      </c>
      <c r="K22" s="71">
        <v>0.02</v>
      </c>
      <c r="L22" s="71">
        <v>0.01</v>
      </c>
      <c r="M22" s="71">
        <v>0.01</v>
      </c>
      <c r="N22" s="71">
        <v>0.01</v>
      </c>
      <c r="O22" s="71">
        <v>0.02</v>
      </c>
      <c r="P22" s="71">
        <v>0.02</v>
      </c>
      <c r="Q22" s="71">
        <v>0.02</v>
      </c>
      <c r="R22" s="71">
        <v>7.0000000000000007E-2</v>
      </c>
      <c r="S22" s="71">
        <v>0.08</v>
      </c>
      <c r="T22" s="71">
        <v>0.08</v>
      </c>
      <c r="U22" s="71">
        <v>0.08</v>
      </c>
      <c r="V22" s="71">
        <v>0.08</v>
      </c>
      <c r="W22" s="71">
        <v>0.08</v>
      </c>
      <c r="X22" s="71">
        <v>7.0000000000000007E-2</v>
      </c>
      <c r="Y22" s="71">
        <v>7.0000000000000007E-2</v>
      </c>
      <c r="Z22" s="71">
        <v>7.0000000000000007E-2</v>
      </c>
      <c r="AA22" s="71">
        <v>0.03</v>
      </c>
      <c r="AB22" s="71">
        <v>0.03</v>
      </c>
      <c r="AC22" s="71">
        <v>0.03</v>
      </c>
      <c r="AD22" s="71">
        <v>0.03</v>
      </c>
      <c r="AE22" s="71">
        <v>0.03</v>
      </c>
      <c r="AF22" s="71">
        <v>0.02</v>
      </c>
      <c r="AG22" s="71">
        <f t="shared" si="0"/>
        <v>1.0000000000000002</v>
      </c>
    </row>
    <row r="23" spans="1:33" x14ac:dyDescent="0.25">
      <c r="A23" s="15">
        <v>684</v>
      </c>
      <c r="B23">
        <v>3500</v>
      </c>
      <c r="C23">
        <v>8400</v>
      </c>
      <c r="D23">
        <v>9200</v>
      </c>
      <c r="E23">
        <v>3300</v>
      </c>
      <c r="F23">
        <v>2200</v>
      </c>
      <c r="G23">
        <v>5900</v>
      </c>
      <c r="H23">
        <v>5800</v>
      </c>
      <c r="I23" s="71">
        <v>0.02</v>
      </c>
      <c r="J23" s="71">
        <v>0.02</v>
      </c>
      <c r="K23" s="71">
        <v>0.02</v>
      </c>
      <c r="L23" s="71">
        <v>0.01</v>
      </c>
      <c r="M23" s="71">
        <v>0.01</v>
      </c>
      <c r="N23" s="71">
        <v>0.01</v>
      </c>
      <c r="O23" s="71">
        <v>0.02</v>
      </c>
      <c r="P23" s="71">
        <v>0.02</v>
      </c>
      <c r="Q23" s="71">
        <v>0.02</v>
      </c>
      <c r="R23" s="71">
        <v>7.0000000000000007E-2</v>
      </c>
      <c r="S23" s="71">
        <v>0.08</v>
      </c>
      <c r="T23" s="71">
        <v>0.08</v>
      </c>
      <c r="U23" s="71">
        <v>0.08</v>
      </c>
      <c r="V23" s="71">
        <v>0.08</v>
      </c>
      <c r="W23" s="71">
        <v>0.08</v>
      </c>
      <c r="X23" s="71">
        <v>7.0000000000000007E-2</v>
      </c>
      <c r="Y23" s="71">
        <v>7.0000000000000007E-2</v>
      </c>
      <c r="Z23" s="71">
        <v>7.0000000000000007E-2</v>
      </c>
      <c r="AA23" s="71">
        <v>0.03</v>
      </c>
      <c r="AB23" s="71">
        <v>0.03</v>
      </c>
      <c r="AC23" s="71">
        <v>0.03</v>
      </c>
      <c r="AD23" s="71">
        <v>0.03</v>
      </c>
      <c r="AE23" s="71">
        <v>0.03</v>
      </c>
      <c r="AF23" s="71">
        <v>0.02</v>
      </c>
      <c r="AG23" s="71">
        <f t="shared" si="0"/>
        <v>1.0000000000000002</v>
      </c>
    </row>
    <row r="24" spans="1:33" x14ac:dyDescent="0.25">
      <c r="A24" s="15">
        <v>685</v>
      </c>
      <c r="B24">
        <v>6600</v>
      </c>
      <c r="C24">
        <v>4700</v>
      </c>
      <c r="D24">
        <v>8400</v>
      </c>
      <c r="E24">
        <v>8000</v>
      </c>
      <c r="F24">
        <v>7800</v>
      </c>
      <c r="G24">
        <v>6000</v>
      </c>
      <c r="H24">
        <v>8400</v>
      </c>
      <c r="I24" s="71">
        <v>0.02</v>
      </c>
      <c r="J24" s="71">
        <v>0.02</v>
      </c>
      <c r="K24" s="71">
        <v>0.02</v>
      </c>
      <c r="L24" s="71">
        <v>0.01</v>
      </c>
      <c r="M24" s="71">
        <v>0.01</v>
      </c>
      <c r="N24" s="71">
        <v>0.01</v>
      </c>
      <c r="O24" s="71">
        <v>0.02</v>
      </c>
      <c r="P24" s="71">
        <v>0.02</v>
      </c>
      <c r="Q24" s="71">
        <v>0.02</v>
      </c>
      <c r="R24" s="71">
        <v>7.0000000000000007E-2</v>
      </c>
      <c r="S24" s="71">
        <v>0.08</v>
      </c>
      <c r="T24" s="71">
        <v>0.08</v>
      </c>
      <c r="U24" s="71">
        <v>0.08</v>
      </c>
      <c r="V24" s="71">
        <v>0.08</v>
      </c>
      <c r="W24" s="71">
        <v>0.08</v>
      </c>
      <c r="X24" s="71">
        <v>7.0000000000000007E-2</v>
      </c>
      <c r="Y24" s="71">
        <v>7.0000000000000007E-2</v>
      </c>
      <c r="Z24" s="71">
        <v>7.0000000000000007E-2</v>
      </c>
      <c r="AA24" s="71">
        <v>0.03</v>
      </c>
      <c r="AB24" s="71">
        <v>0.03</v>
      </c>
      <c r="AC24" s="71">
        <v>0.03</v>
      </c>
      <c r="AD24" s="71">
        <v>0.03</v>
      </c>
      <c r="AE24" s="71">
        <v>0.03</v>
      </c>
      <c r="AF24" s="71">
        <v>0.02</v>
      </c>
      <c r="AG24" s="71">
        <f t="shared" si="0"/>
        <v>1.0000000000000002</v>
      </c>
    </row>
    <row r="25" spans="1:33" x14ac:dyDescent="0.25">
      <c r="A25" s="15">
        <v>691</v>
      </c>
      <c r="B25">
        <v>3100</v>
      </c>
      <c r="C25">
        <v>4600</v>
      </c>
      <c r="D25">
        <v>7700</v>
      </c>
      <c r="E25">
        <v>2400</v>
      </c>
      <c r="F25">
        <v>5300</v>
      </c>
      <c r="G25">
        <v>2300</v>
      </c>
      <c r="H25">
        <v>2900</v>
      </c>
      <c r="I25" s="71">
        <v>0.02</v>
      </c>
      <c r="J25" s="71">
        <v>0.02</v>
      </c>
      <c r="K25" s="71">
        <v>0.02</v>
      </c>
      <c r="L25" s="71">
        <v>0.01</v>
      </c>
      <c r="M25" s="71">
        <v>0.01</v>
      </c>
      <c r="N25" s="71">
        <v>0.01</v>
      </c>
      <c r="O25" s="71">
        <v>0.02</v>
      </c>
      <c r="P25" s="71">
        <v>0.02</v>
      </c>
      <c r="Q25" s="71">
        <v>0.02</v>
      </c>
      <c r="R25" s="71">
        <v>7.0000000000000007E-2</v>
      </c>
      <c r="S25" s="71">
        <v>0.08</v>
      </c>
      <c r="T25" s="71">
        <v>0.08</v>
      </c>
      <c r="U25" s="71">
        <v>0.08</v>
      </c>
      <c r="V25" s="71">
        <v>0.08</v>
      </c>
      <c r="W25" s="71">
        <v>0.08</v>
      </c>
      <c r="X25" s="71">
        <v>7.0000000000000007E-2</v>
      </c>
      <c r="Y25" s="71">
        <v>7.0000000000000007E-2</v>
      </c>
      <c r="Z25" s="71">
        <v>7.0000000000000007E-2</v>
      </c>
      <c r="AA25" s="71">
        <v>0.03</v>
      </c>
      <c r="AB25" s="71">
        <v>0.03</v>
      </c>
      <c r="AC25" s="71">
        <v>0.03</v>
      </c>
      <c r="AD25" s="71">
        <v>0.03</v>
      </c>
      <c r="AE25" s="71">
        <v>0.03</v>
      </c>
      <c r="AF25" s="71">
        <v>0.02</v>
      </c>
      <c r="AG25" s="71">
        <f t="shared" si="0"/>
        <v>1.0000000000000002</v>
      </c>
    </row>
    <row r="26" spans="1:33" x14ac:dyDescent="0.25">
      <c r="A26" s="15">
        <v>706</v>
      </c>
      <c r="B26">
        <v>7500</v>
      </c>
      <c r="C26">
        <v>3000</v>
      </c>
      <c r="D26">
        <v>8600</v>
      </c>
      <c r="E26">
        <v>2700</v>
      </c>
      <c r="F26">
        <v>7900</v>
      </c>
      <c r="G26">
        <v>3000</v>
      </c>
      <c r="H26">
        <v>2000</v>
      </c>
      <c r="I26" s="71">
        <v>0.02</v>
      </c>
      <c r="J26" s="71">
        <v>0.02</v>
      </c>
      <c r="K26" s="71">
        <v>0.02</v>
      </c>
      <c r="L26" s="71">
        <v>0.01</v>
      </c>
      <c r="M26" s="71">
        <v>0.01</v>
      </c>
      <c r="N26" s="71">
        <v>0.01</v>
      </c>
      <c r="O26" s="71">
        <v>0.02</v>
      </c>
      <c r="P26" s="71">
        <v>0.02</v>
      </c>
      <c r="Q26" s="71">
        <v>0.02</v>
      </c>
      <c r="R26" s="71">
        <v>7.0000000000000007E-2</v>
      </c>
      <c r="S26" s="71">
        <v>0.08</v>
      </c>
      <c r="T26" s="71">
        <v>0.08</v>
      </c>
      <c r="U26" s="71">
        <v>0.08</v>
      </c>
      <c r="V26" s="71">
        <v>0.08</v>
      </c>
      <c r="W26" s="71">
        <v>0.08</v>
      </c>
      <c r="X26" s="71">
        <v>7.0000000000000007E-2</v>
      </c>
      <c r="Y26" s="71">
        <v>7.0000000000000007E-2</v>
      </c>
      <c r="Z26" s="71">
        <v>7.0000000000000007E-2</v>
      </c>
      <c r="AA26" s="71">
        <v>0.03</v>
      </c>
      <c r="AB26" s="71">
        <v>0.03</v>
      </c>
      <c r="AC26" s="71">
        <v>0.03</v>
      </c>
      <c r="AD26" s="71">
        <v>0.03</v>
      </c>
      <c r="AE26" s="71">
        <v>0.03</v>
      </c>
      <c r="AF26" s="71">
        <v>0.02</v>
      </c>
      <c r="AG26" s="71">
        <f t="shared" si="0"/>
        <v>1.0000000000000002</v>
      </c>
    </row>
    <row r="27" spans="1:33" x14ac:dyDescent="0.25">
      <c r="A27" s="15">
        <v>713</v>
      </c>
      <c r="B27">
        <v>5800</v>
      </c>
      <c r="C27">
        <v>9000</v>
      </c>
      <c r="D27">
        <v>8600</v>
      </c>
      <c r="E27">
        <v>9100</v>
      </c>
      <c r="F27">
        <v>5000</v>
      </c>
      <c r="G27">
        <v>3800</v>
      </c>
      <c r="H27">
        <v>6700</v>
      </c>
      <c r="I27" s="71">
        <v>0.02</v>
      </c>
      <c r="J27" s="71">
        <v>0.02</v>
      </c>
      <c r="K27" s="71">
        <v>0.02</v>
      </c>
      <c r="L27" s="71">
        <v>0.01</v>
      </c>
      <c r="M27" s="71">
        <v>0.01</v>
      </c>
      <c r="N27" s="71">
        <v>0.01</v>
      </c>
      <c r="O27" s="71">
        <v>0.02</v>
      </c>
      <c r="P27" s="71">
        <v>0.02</v>
      </c>
      <c r="Q27" s="71">
        <v>0.02</v>
      </c>
      <c r="R27" s="71">
        <v>7.0000000000000007E-2</v>
      </c>
      <c r="S27" s="71">
        <v>0.08</v>
      </c>
      <c r="T27" s="71">
        <v>0.08</v>
      </c>
      <c r="U27" s="71">
        <v>0.08</v>
      </c>
      <c r="V27" s="71">
        <v>0.08</v>
      </c>
      <c r="W27" s="71">
        <v>0.08</v>
      </c>
      <c r="X27" s="71">
        <v>7.0000000000000007E-2</v>
      </c>
      <c r="Y27" s="71">
        <v>7.0000000000000007E-2</v>
      </c>
      <c r="Z27" s="71">
        <v>7.0000000000000007E-2</v>
      </c>
      <c r="AA27" s="71">
        <v>0.03</v>
      </c>
      <c r="AB27" s="71">
        <v>0.03</v>
      </c>
      <c r="AC27" s="71">
        <v>0.03</v>
      </c>
      <c r="AD27" s="71">
        <v>0.03</v>
      </c>
      <c r="AE27" s="71">
        <v>0.03</v>
      </c>
      <c r="AF27" s="71">
        <v>0.02</v>
      </c>
      <c r="AG27" s="71">
        <f t="shared" si="0"/>
        <v>1.0000000000000002</v>
      </c>
    </row>
    <row r="28" spans="1:33" x14ac:dyDescent="0.25">
      <c r="A28" s="15">
        <v>718</v>
      </c>
      <c r="B28">
        <v>9000</v>
      </c>
      <c r="C28">
        <v>4900</v>
      </c>
      <c r="D28">
        <v>6400</v>
      </c>
      <c r="E28">
        <v>5400</v>
      </c>
      <c r="F28">
        <v>8300</v>
      </c>
      <c r="G28">
        <v>4500</v>
      </c>
      <c r="H28">
        <v>7800</v>
      </c>
      <c r="I28" s="71">
        <v>0.02</v>
      </c>
      <c r="J28" s="71">
        <v>0.02</v>
      </c>
      <c r="K28" s="71">
        <v>0.02</v>
      </c>
      <c r="L28" s="71">
        <v>0.01</v>
      </c>
      <c r="M28" s="71">
        <v>0.01</v>
      </c>
      <c r="N28" s="71">
        <v>0.01</v>
      </c>
      <c r="O28" s="71">
        <v>0.02</v>
      </c>
      <c r="P28" s="71">
        <v>0.02</v>
      </c>
      <c r="Q28" s="71">
        <v>0.02</v>
      </c>
      <c r="R28" s="71">
        <v>7.0000000000000007E-2</v>
      </c>
      <c r="S28" s="71">
        <v>0.08</v>
      </c>
      <c r="T28" s="71">
        <v>0.08</v>
      </c>
      <c r="U28" s="71">
        <v>0.08</v>
      </c>
      <c r="V28" s="71">
        <v>0.08</v>
      </c>
      <c r="W28" s="71">
        <v>0.08</v>
      </c>
      <c r="X28" s="71">
        <v>7.0000000000000007E-2</v>
      </c>
      <c r="Y28" s="71">
        <v>7.0000000000000007E-2</v>
      </c>
      <c r="Z28" s="71">
        <v>7.0000000000000007E-2</v>
      </c>
      <c r="AA28" s="71">
        <v>0.03</v>
      </c>
      <c r="AB28" s="71">
        <v>0.03</v>
      </c>
      <c r="AC28" s="71">
        <v>0.03</v>
      </c>
      <c r="AD28" s="71">
        <v>0.03</v>
      </c>
      <c r="AE28" s="71">
        <v>0.03</v>
      </c>
      <c r="AF28" s="71">
        <v>0.02</v>
      </c>
      <c r="AG28" s="71">
        <f t="shared" si="0"/>
        <v>1.0000000000000002</v>
      </c>
    </row>
    <row r="29" spans="1:33" x14ac:dyDescent="0.25">
      <c r="A29" s="15">
        <v>731</v>
      </c>
      <c r="B29">
        <v>6400</v>
      </c>
      <c r="C29">
        <v>3500</v>
      </c>
      <c r="D29">
        <v>6700</v>
      </c>
      <c r="E29">
        <v>7600</v>
      </c>
      <c r="F29">
        <v>9300</v>
      </c>
      <c r="G29">
        <v>2100</v>
      </c>
      <c r="H29">
        <v>5600</v>
      </c>
      <c r="I29" s="71">
        <v>0.02</v>
      </c>
      <c r="J29" s="71">
        <v>0.02</v>
      </c>
      <c r="K29" s="71">
        <v>0.02</v>
      </c>
      <c r="L29" s="71">
        <v>0.01</v>
      </c>
      <c r="M29" s="71">
        <v>0.01</v>
      </c>
      <c r="N29" s="71">
        <v>0.01</v>
      </c>
      <c r="O29" s="71">
        <v>0.02</v>
      </c>
      <c r="P29" s="71">
        <v>0.02</v>
      </c>
      <c r="Q29" s="71">
        <v>0.02</v>
      </c>
      <c r="R29" s="71">
        <v>7.0000000000000007E-2</v>
      </c>
      <c r="S29" s="71">
        <v>0.08</v>
      </c>
      <c r="T29" s="71">
        <v>0.08</v>
      </c>
      <c r="U29" s="71">
        <v>0.08</v>
      </c>
      <c r="V29" s="71">
        <v>0.08</v>
      </c>
      <c r="W29" s="71">
        <v>0.08</v>
      </c>
      <c r="X29" s="71">
        <v>7.0000000000000007E-2</v>
      </c>
      <c r="Y29" s="71">
        <v>7.0000000000000007E-2</v>
      </c>
      <c r="Z29" s="71">
        <v>7.0000000000000007E-2</v>
      </c>
      <c r="AA29" s="71">
        <v>0.03</v>
      </c>
      <c r="AB29" s="71">
        <v>0.03</v>
      </c>
      <c r="AC29" s="71">
        <v>0.03</v>
      </c>
      <c r="AD29" s="71">
        <v>0.03</v>
      </c>
      <c r="AE29" s="71">
        <v>0.03</v>
      </c>
      <c r="AF29" s="71">
        <v>0.02</v>
      </c>
      <c r="AG29" s="71">
        <f t="shared" si="0"/>
        <v>1.0000000000000002</v>
      </c>
    </row>
    <row r="30" spans="1:33" x14ac:dyDescent="0.25">
      <c r="A30" s="15">
        <v>743</v>
      </c>
      <c r="B30">
        <v>6100</v>
      </c>
      <c r="C30">
        <v>0</v>
      </c>
      <c r="D30">
        <v>4300</v>
      </c>
      <c r="E30">
        <v>4700</v>
      </c>
      <c r="F30">
        <v>7100</v>
      </c>
      <c r="G30">
        <v>9200</v>
      </c>
      <c r="H30">
        <v>3700</v>
      </c>
      <c r="I30" s="71">
        <v>0.02</v>
      </c>
      <c r="J30" s="71">
        <v>0.02</v>
      </c>
      <c r="K30" s="71">
        <v>0.02</v>
      </c>
      <c r="L30" s="71">
        <v>0.01</v>
      </c>
      <c r="M30" s="71">
        <v>0.01</v>
      </c>
      <c r="N30" s="71">
        <v>0.01</v>
      </c>
      <c r="O30" s="71">
        <v>0.02</v>
      </c>
      <c r="P30" s="71">
        <v>0.02</v>
      </c>
      <c r="Q30" s="71">
        <v>0.02</v>
      </c>
      <c r="R30" s="71">
        <v>7.0000000000000007E-2</v>
      </c>
      <c r="S30" s="71">
        <v>0.08</v>
      </c>
      <c r="T30" s="71">
        <v>0.08</v>
      </c>
      <c r="U30" s="71">
        <v>0.08</v>
      </c>
      <c r="V30" s="71">
        <v>0.08</v>
      </c>
      <c r="W30" s="71">
        <v>0.08</v>
      </c>
      <c r="X30" s="71">
        <v>7.0000000000000007E-2</v>
      </c>
      <c r="Y30" s="71">
        <v>7.0000000000000007E-2</v>
      </c>
      <c r="Z30" s="71">
        <v>7.0000000000000007E-2</v>
      </c>
      <c r="AA30" s="71">
        <v>0.03</v>
      </c>
      <c r="AB30" s="71">
        <v>0.03</v>
      </c>
      <c r="AC30" s="71">
        <v>0.03</v>
      </c>
      <c r="AD30" s="71">
        <v>0.03</v>
      </c>
      <c r="AE30" s="71">
        <v>0.03</v>
      </c>
      <c r="AF30" s="71">
        <v>0.02</v>
      </c>
      <c r="AG30" s="71">
        <f t="shared" si="0"/>
        <v>1.0000000000000002</v>
      </c>
    </row>
    <row r="31" spans="1:33" x14ac:dyDescent="0.25">
      <c r="A31" s="15">
        <v>760</v>
      </c>
      <c r="B31">
        <v>3200</v>
      </c>
      <c r="C31">
        <v>4700</v>
      </c>
      <c r="D31">
        <v>2900</v>
      </c>
      <c r="E31">
        <v>5100</v>
      </c>
      <c r="F31">
        <v>9000</v>
      </c>
      <c r="G31">
        <v>5700</v>
      </c>
      <c r="H31">
        <v>2300</v>
      </c>
      <c r="I31" s="71">
        <v>0.02</v>
      </c>
      <c r="J31" s="71">
        <v>0.02</v>
      </c>
      <c r="K31" s="71">
        <v>0.02</v>
      </c>
      <c r="L31" s="71">
        <v>0.01</v>
      </c>
      <c r="M31" s="71">
        <v>0.01</v>
      </c>
      <c r="N31" s="71">
        <v>0.01</v>
      </c>
      <c r="O31" s="71">
        <v>0.02</v>
      </c>
      <c r="P31" s="71">
        <v>0.02</v>
      </c>
      <c r="Q31" s="71">
        <v>0.02</v>
      </c>
      <c r="R31" s="71">
        <v>7.0000000000000007E-2</v>
      </c>
      <c r="S31" s="71">
        <v>0.08</v>
      </c>
      <c r="T31" s="71">
        <v>0.08</v>
      </c>
      <c r="U31" s="71">
        <v>0.08</v>
      </c>
      <c r="V31" s="71">
        <v>0.08</v>
      </c>
      <c r="W31" s="71">
        <v>0.08</v>
      </c>
      <c r="X31" s="71">
        <v>7.0000000000000007E-2</v>
      </c>
      <c r="Y31" s="71">
        <v>7.0000000000000007E-2</v>
      </c>
      <c r="Z31" s="71">
        <v>7.0000000000000007E-2</v>
      </c>
      <c r="AA31" s="71">
        <v>0.03</v>
      </c>
      <c r="AB31" s="71">
        <v>0.03</v>
      </c>
      <c r="AC31" s="71">
        <v>0.03</v>
      </c>
      <c r="AD31" s="71">
        <v>0.03</v>
      </c>
      <c r="AE31" s="71">
        <v>0.03</v>
      </c>
      <c r="AF31" s="71">
        <v>0.02</v>
      </c>
      <c r="AG31" s="71">
        <f t="shared" si="0"/>
        <v>1.0000000000000002</v>
      </c>
    </row>
    <row r="32" spans="1:33" x14ac:dyDescent="0.25">
      <c r="A32" s="15">
        <v>765</v>
      </c>
      <c r="B32">
        <v>9000</v>
      </c>
      <c r="C32">
        <v>3600</v>
      </c>
      <c r="D32">
        <v>9400</v>
      </c>
      <c r="E32">
        <v>9400</v>
      </c>
      <c r="F32">
        <v>3600</v>
      </c>
      <c r="G32">
        <v>6700</v>
      </c>
      <c r="H32">
        <v>3300</v>
      </c>
      <c r="I32" s="71">
        <v>0.02</v>
      </c>
      <c r="J32" s="71">
        <v>0.02</v>
      </c>
      <c r="K32" s="71">
        <v>0.02</v>
      </c>
      <c r="L32" s="71">
        <v>0.01</v>
      </c>
      <c r="M32" s="71">
        <v>0.01</v>
      </c>
      <c r="N32" s="71">
        <v>0.01</v>
      </c>
      <c r="O32" s="71">
        <v>0.02</v>
      </c>
      <c r="P32" s="71">
        <v>0.02</v>
      </c>
      <c r="Q32" s="71">
        <v>0.02</v>
      </c>
      <c r="R32" s="71">
        <v>7.0000000000000007E-2</v>
      </c>
      <c r="S32" s="71">
        <v>0.08</v>
      </c>
      <c r="T32" s="71">
        <v>0.08</v>
      </c>
      <c r="U32" s="71">
        <v>0.08</v>
      </c>
      <c r="V32" s="71">
        <v>0.08</v>
      </c>
      <c r="W32" s="71">
        <v>0.08</v>
      </c>
      <c r="X32" s="71">
        <v>7.0000000000000007E-2</v>
      </c>
      <c r="Y32" s="71">
        <v>7.0000000000000007E-2</v>
      </c>
      <c r="Z32" s="71">
        <v>7.0000000000000007E-2</v>
      </c>
      <c r="AA32" s="71">
        <v>0.03</v>
      </c>
      <c r="AB32" s="71">
        <v>0.03</v>
      </c>
      <c r="AC32" s="71">
        <v>0.03</v>
      </c>
      <c r="AD32" s="71">
        <v>0.03</v>
      </c>
      <c r="AE32" s="71">
        <v>0.03</v>
      </c>
      <c r="AF32" s="71">
        <v>0.02</v>
      </c>
      <c r="AG32" s="71">
        <f t="shared" si="0"/>
        <v>1.0000000000000002</v>
      </c>
    </row>
    <row r="33" spans="1:33" x14ac:dyDescent="0.25">
      <c r="A33" s="15">
        <v>766</v>
      </c>
      <c r="B33">
        <v>3400</v>
      </c>
      <c r="C33">
        <v>3800</v>
      </c>
      <c r="D33">
        <v>8800</v>
      </c>
      <c r="E33">
        <v>9200</v>
      </c>
      <c r="F33">
        <v>7100</v>
      </c>
      <c r="G33">
        <v>4600</v>
      </c>
      <c r="H33">
        <v>5500</v>
      </c>
      <c r="I33" s="71">
        <v>0.02</v>
      </c>
      <c r="J33" s="71">
        <v>0.02</v>
      </c>
      <c r="K33" s="71">
        <v>0.02</v>
      </c>
      <c r="L33" s="71">
        <v>0.01</v>
      </c>
      <c r="M33" s="71">
        <v>0.01</v>
      </c>
      <c r="N33" s="71">
        <v>0.01</v>
      </c>
      <c r="O33" s="71">
        <v>0.02</v>
      </c>
      <c r="P33" s="71">
        <v>0.02</v>
      </c>
      <c r="Q33" s="71">
        <v>0.02</v>
      </c>
      <c r="R33" s="71">
        <v>7.0000000000000007E-2</v>
      </c>
      <c r="S33" s="71">
        <v>0.08</v>
      </c>
      <c r="T33" s="71">
        <v>0.08</v>
      </c>
      <c r="U33" s="71">
        <v>0.08</v>
      </c>
      <c r="V33" s="71">
        <v>0.08</v>
      </c>
      <c r="W33" s="71">
        <v>0.08</v>
      </c>
      <c r="X33" s="71">
        <v>7.0000000000000007E-2</v>
      </c>
      <c r="Y33" s="71">
        <v>7.0000000000000007E-2</v>
      </c>
      <c r="Z33" s="71">
        <v>7.0000000000000007E-2</v>
      </c>
      <c r="AA33" s="71">
        <v>0.03</v>
      </c>
      <c r="AB33" s="71">
        <v>0.03</v>
      </c>
      <c r="AC33" s="71">
        <v>0.03</v>
      </c>
      <c r="AD33" s="71">
        <v>0.03</v>
      </c>
      <c r="AE33" s="71">
        <v>0.03</v>
      </c>
      <c r="AF33" s="71">
        <v>0.02</v>
      </c>
      <c r="AG33" s="71">
        <f t="shared" si="0"/>
        <v>1.0000000000000002</v>
      </c>
    </row>
    <row r="34" spans="1:33" x14ac:dyDescent="0.25">
      <c r="A34" s="15">
        <v>767</v>
      </c>
      <c r="B34">
        <v>2100</v>
      </c>
      <c r="C34">
        <v>9100</v>
      </c>
      <c r="D34">
        <v>6200</v>
      </c>
      <c r="E34">
        <v>7900</v>
      </c>
      <c r="F34">
        <v>7800</v>
      </c>
      <c r="G34">
        <v>5100</v>
      </c>
      <c r="H34">
        <v>7600</v>
      </c>
      <c r="I34" s="71">
        <v>0.02</v>
      </c>
      <c r="J34" s="71">
        <v>0.02</v>
      </c>
      <c r="K34" s="71">
        <v>0.02</v>
      </c>
      <c r="L34" s="71">
        <v>0.01</v>
      </c>
      <c r="M34" s="71">
        <v>0.01</v>
      </c>
      <c r="N34" s="71">
        <v>0.01</v>
      </c>
      <c r="O34" s="71">
        <v>0.02</v>
      </c>
      <c r="P34" s="71">
        <v>0.02</v>
      </c>
      <c r="Q34" s="71">
        <v>0.02</v>
      </c>
      <c r="R34" s="71">
        <v>7.0000000000000007E-2</v>
      </c>
      <c r="S34" s="71">
        <v>0.08</v>
      </c>
      <c r="T34" s="71">
        <v>0.08</v>
      </c>
      <c r="U34" s="71">
        <v>0.08</v>
      </c>
      <c r="V34" s="71">
        <v>0.08</v>
      </c>
      <c r="W34" s="71">
        <v>0.08</v>
      </c>
      <c r="X34" s="71">
        <v>7.0000000000000007E-2</v>
      </c>
      <c r="Y34" s="71">
        <v>7.0000000000000007E-2</v>
      </c>
      <c r="Z34" s="71">
        <v>7.0000000000000007E-2</v>
      </c>
      <c r="AA34" s="71">
        <v>0.03</v>
      </c>
      <c r="AB34" s="71">
        <v>0.03</v>
      </c>
      <c r="AC34" s="71">
        <v>0.03</v>
      </c>
      <c r="AD34" s="71">
        <v>0.03</v>
      </c>
      <c r="AE34" s="71">
        <v>0.03</v>
      </c>
      <c r="AF34" s="71">
        <v>0.02</v>
      </c>
      <c r="AG34" s="71">
        <f t="shared" si="0"/>
        <v>1.0000000000000002</v>
      </c>
    </row>
    <row r="35" spans="1:33" x14ac:dyDescent="0.25">
      <c r="A35" s="15">
        <v>795</v>
      </c>
      <c r="B35">
        <v>7800</v>
      </c>
      <c r="C35">
        <v>3600</v>
      </c>
      <c r="D35">
        <v>3700</v>
      </c>
      <c r="E35">
        <v>3100</v>
      </c>
      <c r="F35">
        <v>9500</v>
      </c>
      <c r="G35">
        <v>4400</v>
      </c>
      <c r="H35">
        <v>6900</v>
      </c>
      <c r="I35" s="71">
        <v>0.02</v>
      </c>
      <c r="J35" s="71">
        <v>0.02</v>
      </c>
      <c r="K35" s="71">
        <v>0.02</v>
      </c>
      <c r="L35" s="71">
        <v>0.01</v>
      </c>
      <c r="M35" s="71">
        <v>0.01</v>
      </c>
      <c r="N35" s="71">
        <v>0.01</v>
      </c>
      <c r="O35" s="71">
        <v>0.02</v>
      </c>
      <c r="P35" s="71">
        <v>0.02</v>
      </c>
      <c r="Q35" s="71">
        <v>0.02</v>
      </c>
      <c r="R35" s="71">
        <v>7.0000000000000007E-2</v>
      </c>
      <c r="S35" s="71">
        <v>0.08</v>
      </c>
      <c r="T35" s="71">
        <v>0.08</v>
      </c>
      <c r="U35" s="71">
        <v>0.08</v>
      </c>
      <c r="V35" s="71">
        <v>0.08</v>
      </c>
      <c r="W35" s="71">
        <v>0.08</v>
      </c>
      <c r="X35" s="71">
        <v>7.0000000000000007E-2</v>
      </c>
      <c r="Y35" s="71">
        <v>7.0000000000000007E-2</v>
      </c>
      <c r="Z35" s="71">
        <v>7.0000000000000007E-2</v>
      </c>
      <c r="AA35" s="71">
        <v>0.03</v>
      </c>
      <c r="AB35" s="71">
        <v>0.03</v>
      </c>
      <c r="AC35" s="71">
        <v>0.03</v>
      </c>
      <c r="AD35" s="71">
        <v>0.03</v>
      </c>
      <c r="AE35" s="71">
        <v>0.03</v>
      </c>
      <c r="AF35" s="71">
        <v>0.02</v>
      </c>
      <c r="AG35" s="71">
        <f t="shared" si="0"/>
        <v>1.0000000000000002</v>
      </c>
    </row>
    <row r="36" spans="1:33" x14ac:dyDescent="0.25">
      <c r="A36" s="15">
        <v>798</v>
      </c>
      <c r="B36">
        <v>9000</v>
      </c>
      <c r="C36">
        <v>5100</v>
      </c>
      <c r="D36">
        <v>4700</v>
      </c>
      <c r="E36">
        <v>9300</v>
      </c>
      <c r="F36">
        <v>2400</v>
      </c>
      <c r="G36">
        <v>4800</v>
      </c>
      <c r="H36">
        <v>9800</v>
      </c>
      <c r="I36" s="71">
        <v>0.02</v>
      </c>
      <c r="J36" s="71">
        <v>0.02</v>
      </c>
      <c r="K36" s="71">
        <v>0.02</v>
      </c>
      <c r="L36" s="71">
        <v>0.01</v>
      </c>
      <c r="M36" s="71">
        <v>0.01</v>
      </c>
      <c r="N36" s="71">
        <v>0.01</v>
      </c>
      <c r="O36" s="71">
        <v>0.02</v>
      </c>
      <c r="P36" s="71">
        <v>0.02</v>
      </c>
      <c r="Q36" s="71">
        <v>0.02</v>
      </c>
      <c r="R36" s="71">
        <v>7.0000000000000007E-2</v>
      </c>
      <c r="S36" s="71">
        <v>0.08</v>
      </c>
      <c r="T36" s="71">
        <v>0.08</v>
      </c>
      <c r="U36" s="71">
        <v>0.08</v>
      </c>
      <c r="V36" s="71">
        <v>0.08</v>
      </c>
      <c r="W36" s="71">
        <v>0.08</v>
      </c>
      <c r="X36" s="71">
        <v>7.0000000000000007E-2</v>
      </c>
      <c r="Y36" s="71">
        <v>7.0000000000000007E-2</v>
      </c>
      <c r="Z36" s="71">
        <v>7.0000000000000007E-2</v>
      </c>
      <c r="AA36" s="71">
        <v>0.03</v>
      </c>
      <c r="AB36" s="71">
        <v>0.03</v>
      </c>
      <c r="AC36" s="71">
        <v>0.03</v>
      </c>
      <c r="AD36" s="71">
        <v>0.03</v>
      </c>
      <c r="AE36" s="71">
        <v>0.03</v>
      </c>
      <c r="AF36" s="71">
        <v>0.02</v>
      </c>
      <c r="AG36" s="71">
        <f t="shared" si="0"/>
        <v>1.0000000000000002</v>
      </c>
    </row>
    <row r="37" spans="1:33" x14ac:dyDescent="0.25">
      <c r="A37" s="15">
        <v>799</v>
      </c>
      <c r="B37">
        <v>4200</v>
      </c>
      <c r="C37">
        <v>8300</v>
      </c>
      <c r="D37">
        <v>8000</v>
      </c>
      <c r="E37">
        <v>7500</v>
      </c>
      <c r="F37">
        <v>10000</v>
      </c>
      <c r="G37">
        <v>6100</v>
      </c>
      <c r="H37">
        <v>6800</v>
      </c>
      <c r="I37" s="71">
        <v>0.02</v>
      </c>
      <c r="J37" s="71">
        <v>0.02</v>
      </c>
      <c r="K37" s="71">
        <v>0.02</v>
      </c>
      <c r="L37" s="71">
        <v>0.01</v>
      </c>
      <c r="M37" s="71">
        <v>0.01</v>
      </c>
      <c r="N37" s="71">
        <v>0.01</v>
      </c>
      <c r="O37" s="71">
        <v>0.02</v>
      </c>
      <c r="P37" s="71">
        <v>0.02</v>
      </c>
      <c r="Q37" s="71">
        <v>0.02</v>
      </c>
      <c r="R37" s="71">
        <v>7.0000000000000007E-2</v>
      </c>
      <c r="S37" s="71">
        <v>0.08</v>
      </c>
      <c r="T37" s="71">
        <v>0.08</v>
      </c>
      <c r="U37" s="71">
        <v>0.08</v>
      </c>
      <c r="V37" s="71">
        <v>0.08</v>
      </c>
      <c r="W37" s="71">
        <v>0.08</v>
      </c>
      <c r="X37" s="71">
        <v>7.0000000000000007E-2</v>
      </c>
      <c r="Y37" s="71">
        <v>7.0000000000000007E-2</v>
      </c>
      <c r="Z37" s="71">
        <v>7.0000000000000007E-2</v>
      </c>
      <c r="AA37" s="71">
        <v>0.03</v>
      </c>
      <c r="AB37" s="71">
        <v>0.03</v>
      </c>
      <c r="AC37" s="71">
        <v>0.03</v>
      </c>
      <c r="AD37" s="71">
        <v>0.03</v>
      </c>
      <c r="AE37" s="71">
        <v>0.03</v>
      </c>
      <c r="AF37" s="71">
        <v>0.02</v>
      </c>
      <c r="AG37" s="71">
        <f t="shared" si="0"/>
        <v>1.0000000000000002</v>
      </c>
    </row>
    <row r="38" spans="1:33" x14ac:dyDescent="0.25">
      <c r="A38" s="15">
        <v>811</v>
      </c>
      <c r="B38">
        <v>5500</v>
      </c>
      <c r="C38">
        <v>9900</v>
      </c>
      <c r="D38">
        <v>4000</v>
      </c>
      <c r="E38">
        <v>3800</v>
      </c>
      <c r="F38">
        <v>2800</v>
      </c>
      <c r="G38">
        <v>8500</v>
      </c>
      <c r="H38">
        <v>4100</v>
      </c>
      <c r="I38" s="71">
        <v>0.02</v>
      </c>
      <c r="J38" s="71">
        <v>0.02</v>
      </c>
      <c r="K38" s="71">
        <v>0.02</v>
      </c>
      <c r="L38" s="71">
        <v>0.01</v>
      </c>
      <c r="M38" s="71">
        <v>0.01</v>
      </c>
      <c r="N38" s="71">
        <v>0.01</v>
      </c>
      <c r="O38" s="71">
        <v>0.02</v>
      </c>
      <c r="P38" s="71">
        <v>0.02</v>
      </c>
      <c r="Q38" s="71">
        <v>0.02</v>
      </c>
      <c r="R38" s="71">
        <v>7.0000000000000007E-2</v>
      </c>
      <c r="S38" s="71">
        <v>0.08</v>
      </c>
      <c r="T38" s="71">
        <v>0.08</v>
      </c>
      <c r="U38" s="71">
        <v>0.08</v>
      </c>
      <c r="V38" s="71">
        <v>0.08</v>
      </c>
      <c r="W38" s="71">
        <v>0.08</v>
      </c>
      <c r="X38" s="71">
        <v>7.0000000000000007E-2</v>
      </c>
      <c r="Y38" s="71">
        <v>7.0000000000000007E-2</v>
      </c>
      <c r="Z38" s="71">
        <v>7.0000000000000007E-2</v>
      </c>
      <c r="AA38" s="71">
        <v>0.03</v>
      </c>
      <c r="AB38" s="71">
        <v>0.03</v>
      </c>
      <c r="AC38" s="71">
        <v>0.03</v>
      </c>
      <c r="AD38" s="71">
        <v>0.03</v>
      </c>
      <c r="AE38" s="71">
        <v>0.03</v>
      </c>
      <c r="AF38" s="71">
        <v>0.02</v>
      </c>
      <c r="AG38" s="71">
        <f t="shared" si="0"/>
        <v>1.0000000000000002</v>
      </c>
    </row>
    <row r="39" spans="1:33" x14ac:dyDescent="0.25">
      <c r="A39" s="15">
        <v>820</v>
      </c>
      <c r="B39">
        <v>6000</v>
      </c>
      <c r="C39">
        <v>9300</v>
      </c>
      <c r="D39">
        <v>10000</v>
      </c>
      <c r="E39">
        <v>8500</v>
      </c>
      <c r="F39">
        <v>7100</v>
      </c>
      <c r="G39">
        <v>4200</v>
      </c>
      <c r="H39">
        <v>5400</v>
      </c>
      <c r="I39" s="71">
        <v>0.02</v>
      </c>
      <c r="J39" s="71">
        <v>0.02</v>
      </c>
      <c r="K39" s="71">
        <v>0.02</v>
      </c>
      <c r="L39" s="71">
        <v>0.01</v>
      </c>
      <c r="M39" s="71">
        <v>0.01</v>
      </c>
      <c r="N39" s="71">
        <v>0.01</v>
      </c>
      <c r="O39" s="71">
        <v>0.02</v>
      </c>
      <c r="P39" s="71">
        <v>0.02</v>
      </c>
      <c r="Q39" s="71">
        <v>0.02</v>
      </c>
      <c r="R39" s="71">
        <v>7.0000000000000007E-2</v>
      </c>
      <c r="S39" s="71">
        <v>0.08</v>
      </c>
      <c r="T39" s="71">
        <v>0.08</v>
      </c>
      <c r="U39" s="71">
        <v>0.08</v>
      </c>
      <c r="V39" s="71">
        <v>0.08</v>
      </c>
      <c r="W39" s="71">
        <v>0.08</v>
      </c>
      <c r="X39" s="71">
        <v>7.0000000000000007E-2</v>
      </c>
      <c r="Y39" s="71">
        <v>7.0000000000000007E-2</v>
      </c>
      <c r="Z39" s="71">
        <v>7.0000000000000007E-2</v>
      </c>
      <c r="AA39" s="71">
        <v>0.03</v>
      </c>
      <c r="AB39" s="71">
        <v>0.03</v>
      </c>
      <c r="AC39" s="71">
        <v>0.03</v>
      </c>
      <c r="AD39" s="71">
        <v>0.03</v>
      </c>
      <c r="AE39" s="71">
        <v>0.03</v>
      </c>
      <c r="AF39" s="71">
        <v>0.02</v>
      </c>
      <c r="AG39" s="71">
        <f t="shared" si="0"/>
        <v>1.0000000000000002</v>
      </c>
    </row>
    <row r="40" spans="1:33" x14ac:dyDescent="0.25">
      <c r="A40" s="15">
        <v>830</v>
      </c>
      <c r="B40">
        <v>5200</v>
      </c>
      <c r="C40">
        <v>9700</v>
      </c>
      <c r="D40">
        <v>6900</v>
      </c>
      <c r="E40">
        <v>9500</v>
      </c>
      <c r="F40">
        <v>9500</v>
      </c>
      <c r="G40">
        <v>8000</v>
      </c>
      <c r="H40">
        <v>9300</v>
      </c>
      <c r="I40" s="71">
        <v>0.02</v>
      </c>
      <c r="J40" s="71">
        <v>0.02</v>
      </c>
      <c r="K40" s="71">
        <v>0.02</v>
      </c>
      <c r="L40" s="71">
        <v>0.01</v>
      </c>
      <c r="M40" s="71">
        <v>0.01</v>
      </c>
      <c r="N40" s="71">
        <v>0.01</v>
      </c>
      <c r="O40" s="71">
        <v>0.02</v>
      </c>
      <c r="P40" s="71">
        <v>0.02</v>
      </c>
      <c r="Q40" s="71">
        <v>0.02</v>
      </c>
      <c r="R40" s="71">
        <v>7.0000000000000007E-2</v>
      </c>
      <c r="S40" s="71">
        <v>0.08</v>
      </c>
      <c r="T40" s="71">
        <v>0.08</v>
      </c>
      <c r="U40" s="71">
        <v>0.08</v>
      </c>
      <c r="V40" s="71">
        <v>0.08</v>
      </c>
      <c r="W40" s="71">
        <v>0.08</v>
      </c>
      <c r="X40" s="71">
        <v>7.0000000000000007E-2</v>
      </c>
      <c r="Y40" s="71">
        <v>7.0000000000000007E-2</v>
      </c>
      <c r="Z40" s="71">
        <v>7.0000000000000007E-2</v>
      </c>
      <c r="AA40" s="71">
        <v>0.03</v>
      </c>
      <c r="AB40" s="71">
        <v>0.03</v>
      </c>
      <c r="AC40" s="71">
        <v>0.03</v>
      </c>
      <c r="AD40" s="71">
        <v>0.03</v>
      </c>
      <c r="AE40" s="71">
        <v>0.03</v>
      </c>
      <c r="AF40" s="71">
        <v>0.02</v>
      </c>
      <c r="AG40" s="71">
        <f t="shared" si="0"/>
        <v>1.0000000000000002</v>
      </c>
    </row>
    <row r="41" spans="1:33" x14ac:dyDescent="0.25">
      <c r="A41" s="15">
        <v>831</v>
      </c>
      <c r="B41">
        <v>8700</v>
      </c>
      <c r="C41">
        <v>9600</v>
      </c>
      <c r="D41">
        <v>8300</v>
      </c>
      <c r="E41">
        <v>6900</v>
      </c>
      <c r="F41">
        <v>4400</v>
      </c>
      <c r="G41">
        <v>8300</v>
      </c>
      <c r="H41">
        <v>5900</v>
      </c>
      <c r="I41" s="71">
        <v>0.02</v>
      </c>
      <c r="J41" s="71">
        <v>0.02</v>
      </c>
      <c r="K41" s="71">
        <v>0.02</v>
      </c>
      <c r="L41" s="71">
        <v>0.01</v>
      </c>
      <c r="M41" s="71">
        <v>0.01</v>
      </c>
      <c r="N41" s="71">
        <v>0.01</v>
      </c>
      <c r="O41" s="71">
        <v>0.02</v>
      </c>
      <c r="P41" s="71">
        <v>0.02</v>
      </c>
      <c r="Q41" s="71">
        <v>0.02</v>
      </c>
      <c r="R41" s="71">
        <v>7.0000000000000007E-2</v>
      </c>
      <c r="S41" s="71">
        <v>0.08</v>
      </c>
      <c r="T41" s="71">
        <v>0.08</v>
      </c>
      <c r="U41" s="71">
        <v>0.08</v>
      </c>
      <c r="V41" s="71">
        <v>0.08</v>
      </c>
      <c r="W41" s="71">
        <v>0.08</v>
      </c>
      <c r="X41" s="71">
        <v>7.0000000000000007E-2</v>
      </c>
      <c r="Y41" s="71">
        <v>7.0000000000000007E-2</v>
      </c>
      <c r="Z41" s="71">
        <v>7.0000000000000007E-2</v>
      </c>
      <c r="AA41" s="71">
        <v>0.03</v>
      </c>
      <c r="AB41" s="71">
        <v>0.03</v>
      </c>
      <c r="AC41" s="71">
        <v>0.03</v>
      </c>
      <c r="AD41" s="71">
        <v>0.03</v>
      </c>
      <c r="AE41" s="71">
        <v>0.03</v>
      </c>
      <c r="AF41" s="71">
        <v>0.02</v>
      </c>
      <c r="AG41" s="71">
        <f t="shared" si="0"/>
        <v>1.0000000000000002</v>
      </c>
    </row>
    <row r="42" spans="1:33" x14ac:dyDescent="0.25">
      <c r="A42" s="15">
        <v>832</v>
      </c>
      <c r="B42">
        <v>6900</v>
      </c>
      <c r="C42">
        <v>4100</v>
      </c>
      <c r="D42">
        <v>6500</v>
      </c>
      <c r="E42">
        <v>4000</v>
      </c>
      <c r="F42">
        <v>7400</v>
      </c>
      <c r="G42">
        <v>3900</v>
      </c>
      <c r="H42">
        <v>8300</v>
      </c>
      <c r="I42" s="71">
        <v>0.02</v>
      </c>
      <c r="J42" s="71">
        <v>0.02</v>
      </c>
      <c r="K42" s="71">
        <v>0.02</v>
      </c>
      <c r="L42" s="71">
        <v>0.01</v>
      </c>
      <c r="M42" s="71">
        <v>0.01</v>
      </c>
      <c r="N42" s="71">
        <v>0.01</v>
      </c>
      <c r="O42" s="71">
        <v>0.02</v>
      </c>
      <c r="P42" s="71">
        <v>0.02</v>
      </c>
      <c r="Q42" s="71">
        <v>0.02</v>
      </c>
      <c r="R42" s="71">
        <v>7.0000000000000007E-2</v>
      </c>
      <c r="S42" s="71">
        <v>0.08</v>
      </c>
      <c r="T42" s="71">
        <v>0.08</v>
      </c>
      <c r="U42" s="71">
        <v>0.08</v>
      </c>
      <c r="V42" s="71">
        <v>0.08</v>
      </c>
      <c r="W42" s="71">
        <v>0.08</v>
      </c>
      <c r="X42" s="71">
        <v>7.0000000000000007E-2</v>
      </c>
      <c r="Y42" s="71">
        <v>7.0000000000000007E-2</v>
      </c>
      <c r="Z42" s="71">
        <v>7.0000000000000007E-2</v>
      </c>
      <c r="AA42" s="71">
        <v>0.03</v>
      </c>
      <c r="AB42" s="71">
        <v>0.03</v>
      </c>
      <c r="AC42" s="71">
        <v>0.03</v>
      </c>
      <c r="AD42" s="71">
        <v>0.03</v>
      </c>
      <c r="AE42" s="71">
        <v>0.03</v>
      </c>
      <c r="AF42" s="71">
        <v>0.02</v>
      </c>
      <c r="AG42" s="71">
        <f t="shared" si="0"/>
        <v>1.0000000000000002</v>
      </c>
    </row>
    <row r="43" spans="1:33" x14ac:dyDescent="0.25">
      <c r="A43" s="15">
        <v>833</v>
      </c>
      <c r="B43">
        <v>9000</v>
      </c>
      <c r="C43">
        <v>7300</v>
      </c>
      <c r="D43">
        <v>2100</v>
      </c>
      <c r="E43">
        <v>6600</v>
      </c>
      <c r="F43">
        <v>4800</v>
      </c>
      <c r="G43">
        <v>3800</v>
      </c>
      <c r="H43">
        <v>8900</v>
      </c>
      <c r="I43" s="71">
        <v>0.02</v>
      </c>
      <c r="J43" s="71">
        <v>0.02</v>
      </c>
      <c r="K43" s="71">
        <v>0.02</v>
      </c>
      <c r="L43" s="71">
        <v>0.01</v>
      </c>
      <c r="M43" s="71">
        <v>0.01</v>
      </c>
      <c r="N43" s="71">
        <v>0.01</v>
      </c>
      <c r="O43" s="71">
        <v>0.02</v>
      </c>
      <c r="P43" s="71">
        <v>0.02</v>
      </c>
      <c r="Q43" s="71">
        <v>0.02</v>
      </c>
      <c r="R43" s="71">
        <v>7.0000000000000007E-2</v>
      </c>
      <c r="S43" s="71">
        <v>0.08</v>
      </c>
      <c r="T43" s="71">
        <v>0.08</v>
      </c>
      <c r="U43" s="71">
        <v>0.08</v>
      </c>
      <c r="V43" s="71">
        <v>0.08</v>
      </c>
      <c r="W43" s="71">
        <v>0.08</v>
      </c>
      <c r="X43" s="71">
        <v>7.0000000000000007E-2</v>
      </c>
      <c r="Y43" s="71">
        <v>7.0000000000000007E-2</v>
      </c>
      <c r="Z43" s="71">
        <v>7.0000000000000007E-2</v>
      </c>
      <c r="AA43" s="71">
        <v>0.03</v>
      </c>
      <c r="AB43" s="71">
        <v>0.03</v>
      </c>
      <c r="AC43" s="71">
        <v>0.03</v>
      </c>
      <c r="AD43" s="71">
        <v>0.03</v>
      </c>
      <c r="AE43" s="71">
        <v>0.03</v>
      </c>
      <c r="AF43" s="71">
        <v>0.02</v>
      </c>
      <c r="AG43" s="71">
        <f t="shared" si="0"/>
        <v>1.0000000000000002</v>
      </c>
    </row>
    <row r="44" spans="1:33" x14ac:dyDescent="0.25">
      <c r="A44" s="15">
        <v>840</v>
      </c>
      <c r="B44">
        <v>6800</v>
      </c>
      <c r="C44">
        <v>4200</v>
      </c>
      <c r="D44">
        <v>8900</v>
      </c>
      <c r="E44">
        <v>4900</v>
      </c>
      <c r="F44">
        <v>9200</v>
      </c>
      <c r="G44">
        <v>7500</v>
      </c>
      <c r="H44">
        <v>5800</v>
      </c>
      <c r="I44" s="71">
        <v>0.02</v>
      </c>
      <c r="J44" s="71">
        <v>0.02</v>
      </c>
      <c r="K44" s="71">
        <v>0.02</v>
      </c>
      <c r="L44" s="71">
        <v>0.01</v>
      </c>
      <c r="M44" s="71">
        <v>0.01</v>
      </c>
      <c r="N44" s="71">
        <v>0.01</v>
      </c>
      <c r="O44" s="71">
        <v>0.02</v>
      </c>
      <c r="P44" s="71">
        <v>0.02</v>
      </c>
      <c r="Q44" s="71">
        <v>0.02</v>
      </c>
      <c r="R44" s="71">
        <v>7.0000000000000007E-2</v>
      </c>
      <c r="S44" s="71">
        <v>0.08</v>
      </c>
      <c r="T44" s="71">
        <v>0.08</v>
      </c>
      <c r="U44" s="71">
        <v>0.08</v>
      </c>
      <c r="V44" s="71">
        <v>0.08</v>
      </c>
      <c r="W44" s="71">
        <v>0.08</v>
      </c>
      <c r="X44" s="71">
        <v>7.0000000000000007E-2</v>
      </c>
      <c r="Y44" s="71">
        <v>7.0000000000000007E-2</v>
      </c>
      <c r="Z44" s="71">
        <v>7.0000000000000007E-2</v>
      </c>
      <c r="AA44" s="71">
        <v>0.03</v>
      </c>
      <c r="AB44" s="71">
        <v>0.03</v>
      </c>
      <c r="AC44" s="71">
        <v>0.03</v>
      </c>
      <c r="AD44" s="71">
        <v>0.03</v>
      </c>
      <c r="AE44" s="71">
        <v>0.03</v>
      </c>
      <c r="AF44" s="71">
        <v>0.02</v>
      </c>
      <c r="AG44" s="71">
        <f t="shared" si="0"/>
        <v>1.0000000000000002</v>
      </c>
    </row>
    <row r="45" spans="1:33" x14ac:dyDescent="0.25">
      <c r="A45" s="15">
        <v>841</v>
      </c>
      <c r="B45">
        <v>7000</v>
      </c>
      <c r="C45">
        <v>7700</v>
      </c>
      <c r="D45">
        <v>2900</v>
      </c>
      <c r="E45">
        <v>2400</v>
      </c>
      <c r="F45">
        <v>2700</v>
      </c>
      <c r="G45">
        <v>2800</v>
      </c>
      <c r="H45">
        <v>6200</v>
      </c>
      <c r="I45" s="71">
        <v>0.02</v>
      </c>
      <c r="J45" s="71">
        <v>0.02</v>
      </c>
      <c r="K45" s="71">
        <v>0.02</v>
      </c>
      <c r="L45" s="71">
        <v>0.01</v>
      </c>
      <c r="M45" s="71">
        <v>0.01</v>
      </c>
      <c r="N45" s="71">
        <v>0.01</v>
      </c>
      <c r="O45" s="71">
        <v>0.02</v>
      </c>
      <c r="P45" s="71">
        <v>0.02</v>
      </c>
      <c r="Q45" s="71">
        <v>0.02</v>
      </c>
      <c r="R45" s="71">
        <v>7.0000000000000007E-2</v>
      </c>
      <c r="S45" s="71">
        <v>0.08</v>
      </c>
      <c r="T45" s="71">
        <v>0.08</v>
      </c>
      <c r="U45" s="71">
        <v>0.08</v>
      </c>
      <c r="V45" s="71">
        <v>0.08</v>
      </c>
      <c r="W45" s="71">
        <v>0.08</v>
      </c>
      <c r="X45" s="71">
        <v>7.0000000000000007E-2</v>
      </c>
      <c r="Y45" s="71">
        <v>7.0000000000000007E-2</v>
      </c>
      <c r="Z45" s="71">
        <v>7.0000000000000007E-2</v>
      </c>
      <c r="AA45" s="71">
        <v>0.03</v>
      </c>
      <c r="AB45" s="71">
        <v>0.03</v>
      </c>
      <c r="AC45" s="71">
        <v>0.03</v>
      </c>
      <c r="AD45" s="71">
        <v>0.03</v>
      </c>
      <c r="AE45" s="71">
        <v>0.03</v>
      </c>
      <c r="AF45" s="71">
        <v>0.02</v>
      </c>
      <c r="AG45" s="71">
        <f t="shared" si="0"/>
        <v>1.0000000000000002</v>
      </c>
    </row>
    <row r="46" spans="1:33" x14ac:dyDescent="0.25">
      <c r="A46" s="15">
        <v>842</v>
      </c>
      <c r="B46">
        <v>8400</v>
      </c>
      <c r="C46">
        <v>2900</v>
      </c>
      <c r="D46">
        <v>5700</v>
      </c>
      <c r="E46">
        <v>4600</v>
      </c>
      <c r="F46">
        <v>8900</v>
      </c>
      <c r="G46">
        <v>2300</v>
      </c>
      <c r="H46">
        <v>5800</v>
      </c>
      <c r="I46" s="71">
        <v>0.02</v>
      </c>
      <c r="J46" s="71">
        <v>0.02</v>
      </c>
      <c r="K46" s="71">
        <v>0.02</v>
      </c>
      <c r="L46" s="71">
        <v>0.01</v>
      </c>
      <c r="M46" s="71">
        <v>0.01</v>
      </c>
      <c r="N46" s="71">
        <v>0.01</v>
      </c>
      <c r="O46" s="71">
        <v>0.02</v>
      </c>
      <c r="P46" s="71">
        <v>0.02</v>
      </c>
      <c r="Q46" s="71">
        <v>0.02</v>
      </c>
      <c r="R46" s="71">
        <v>7.0000000000000007E-2</v>
      </c>
      <c r="S46" s="71">
        <v>0.08</v>
      </c>
      <c r="T46" s="71">
        <v>0.08</v>
      </c>
      <c r="U46" s="71">
        <v>0.08</v>
      </c>
      <c r="V46" s="71">
        <v>0.08</v>
      </c>
      <c r="W46" s="71">
        <v>0.08</v>
      </c>
      <c r="X46" s="71">
        <v>7.0000000000000007E-2</v>
      </c>
      <c r="Y46" s="71">
        <v>7.0000000000000007E-2</v>
      </c>
      <c r="Z46" s="71">
        <v>7.0000000000000007E-2</v>
      </c>
      <c r="AA46" s="71">
        <v>0.03</v>
      </c>
      <c r="AB46" s="71">
        <v>0.03</v>
      </c>
      <c r="AC46" s="71">
        <v>0.03</v>
      </c>
      <c r="AD46" s="71">
        <v>0.03</v>
      </c>
      <c r="AE46" s="71">
        <v>0.03</v>
      </c>
      <c r="AF46" s="71">
        <v>0.02</v>
      </c>
      <c r="AG46" s="71">
        <f t="shared" si="0"/>
        <v>1.0000000000000002</v>
      </c>
    </row>
    <row r="47" spans="1:33" x14ac:dyDescent="0.25">
      <c r="A47" s="15">
        <v>847</v>
      </c>
      <c r="B47">
        <v>6800</v>
      </c>
      <c r="C47">
        <v>5500</v>
      </c>
      <c r="D47">
        <v>3200</v>
      </c>
      <c r="E47">
        <v>2700</v>
      </c>
      <c r="F47">
        <v>5600</v>
      </c>
      <c r="G47">
        <v>3400</v>
      </c>
      <c r="H47">
        <v>5900</v>
      </c>
      <c r="I47" s="71">
        <v>0.02</v>
      </c>
      <c r="J47" s="71">
        <v>0.02</v>
      </c>
      <c r="K47" s="71">
        <v>0.02</v>
      </c>
      <c r="L47" s="71">
        <v>0.01</v>
      </c>
      <c r="M47" s="71">
        <v>0.01</v>
      </c>
      <c r="N47" s="71">
        <v>0.01</v>
      </c>
      <c r="O47" s="71">
        <v>0.02</v>
      </c>
      <c r="P47" s="71">
        <v>0.02</v>
      </c>
      <c r="Q47" s="71">
        <v>0.02</v>
      </c>
      <c r="R47" s="71">
        <v>7.0000000000000007E-2</v>
      </c>
      <c r="S47" s="71">
        <v>0.08</v>
      </c>
      <c r="T47" s="71">
        <v>0.08</v>
      </c>
      <c r="U47" s="71">
        <v>0.08</v>
      </c>
      <c r="V47" s="71">
        <v>0.08</v>
      </c>
      <c r="W47" s="71">
        <v>0.08</v>
      </c>
      <c r="X47" s="71">
        <v>7.0000000000000007E-2</v>
      </c>
      <c r="Y47" s="71">
        <v>7.0000000000000007E-2</v>
      </c>
      <c r="Z47" s="71">
        <v>7.0000000000000007E-2</v>
      </c>
      <c r="AA47" s="71">
        <v>0.03</v>
      </c>
      <c r="AB47" s="71">
        <v>0.03</v>
      </c>
      <c r="AC47" s="71">
        <v>0.03</v>
      </c>
      <c r="AD47" s="71">
        <v>0.03</v>
      </c>
      <c r="AE47" s="71">
        <v>0.03</v>
      </c>
      <c r="AF47" s="71">
        <v>0.02</v>
      </c>
      <c r="AG47" s="71">
        <f t="shared" si="0"/>
        <v>1.0000000000000002</v>
      </c>
    </row>
    <row r="48" spans="1:33" x14ac:dyDescent="0.25">
      <c r="A48" s="15">
        <v>877</v>
      </c>
      <c r="B48">
        <v>6400</v>
      </c>
      <c r="C48">
        <v>9400</v>
      </c>
      <c r="D48">
        <v>7100</v>
      </c>
      <c r="E48">
        <v>6600</v>
      </c>
      <c r="F48">
        <v>3500</v>
      </c>
      <c r="G48">
        <v>9700</v>
      </c>
      <c r="H48">
        <v>2400</v>
      </c>
      <c r="I48" s="71">
        <v>0.02</v>
      </c>
      <c r="J48" s="71">
        <v>0.02</v>
      </c>
      <c r="K48" s="71">
        <v>0.02</v>
      </c>
      <c r="L48" s="71">
        <v>0.01</v>
      </c>
      <c r="M48" s="71">
        <v>0.01</v>
      </c>
      <c r="N48" s="71">
        <v>0.01</v>
      </c>
      <c r="O48" s="71">
        <v>0.02</v>
      </c>
      <c r="P48" s="71">
        <v>0.02</v>
      </c>
      <c r="Q48" s="71">
        <v>0.02</v>
      </c>
      <c r="R48" s="71">
        <v>7.0000000000000007E-2</v>
      </c>
      <c r="S48" s="71">
        <v>0.08</v>
      </c>
      <c r="T48" s="71">
        <v>0.08</v>
      </c>
      <c r="U48" s="71">
        <v>0.08</v>
      </c>
      <c r="V48" s="71">
        <v>0.08</v>
      </c>
      <c r="W48" s="71">
        <v>0.08</v>
      </c>
      <c r="X48" s="71">
        <v>7.0000000000000007E-2</v>
      </c>
      <c r="Y48" s="71">
        <v>7.0000000000000007E-2</v>
      </c>
      <c r="Z48" s="71">
        <v>7.0000000000000007E-2</v>
      </c>
      <c r="AA48" s="71">
        <v>0.03</v>
      </c>
      <c r="AB48" s="71">
        <v>0.03</v>
      </c>
      <c r="AC48" s="71">
        <v>0.03</v>
      </c>
      <c r="AD48" s="71">
        <v>0.03</v>
      </c>
      <c r="AE48" s="71">
        <v>0.03</v>
      </c>
      <c r="AF48" s="71">
        <v>0.02</v>
      </c>
      <c r="AG48" s="71">
        <f t="shared" si="0"/>
        <v>1.0000000000000002</v>
      </c>
    </row>
    <row r="49" spans="1:33" x14ac:dyDescent="0.25">
      <c r="A49" s="15">
        <v>898</v>
      </c>
      <c r="B49">
        <v>3500</v>
      </c>
      <c r="C49">
        <v>8400</v>
      </c>
      <c r="D49">
        <v>9200</v>
      </c>
      <c r="E49">
        <v>3300</v>
      </c>
      <c r="F49">
        <v>2200</v>
      </c>
      <c r="G49">
        <v>5900</v>
      </c>
      <c r="H49">
        <v>5800</v>
      </c>
      <c r="I49" s="71">
        <v>0.02</v>
      </c>
      <c r="J49" s="71">
        <v>0.02</v>
      </c>
      <c r="K49" s="71">
        <v>0.02</v>
      </c>
      <c r="L49" s="71">
        <v>0.01</v>
      </c>
      <c r="M49" s="71">
        <v>0.01</v>
      </c>
      <c r="N49" s="71">
        <v>0.01</v>
      </c>
      <c r="O49" s="71">
        <v>0.02</v>
      </c>
      <c r="P49" s="71">
        <v>0.02</v>
      </c>
      <c r="Q49" s="71">
        <v>0.02</v>
      </c>
      <c r="R49" s="71">
        <v>7.0000000000000007E-2</v>
      </c>
      <c r="S49" s="71">
        <v>0.08</v>
      </c>
      <c r="T49" s="71">
        <v>0.08</v>
      </c>
      <c r="U49" s="71">
        <v>0.08</v>
      </c>
      <c r="V49" s="71">
        <v>0.08</v>
      </c>
      <c r="W49" s="71">
        <v>0.08</v>
      </c>
      <c r="X49" s="71">
        <v>7.0000000000000007E-2</v>
      </c>
      <c r="Y49" s="71">
        <v>7.0000000000000007E-2</v>
      </c>
      <c r="Z49" s="71">
        <v>7.0000000000000007E-2</v>
      </c>
      <c r="AA49" s="71">
        <v>0.03</v>
      </c>
      <c r="AB49" s="71">
        <v>0.03</v>
      </c>
      <c r="AC49" s="71">
        <v>0.03</v>
      </c>
      <c r="AD49" s="71">
        <v>0.03</v>
      </c>
      <c r="AE49" s="71">
        <v>0.03</v>
      </c>
      <c r="AF49" s="71">
        <v>0.02</v>
      </c>
      <c r="AG49" s="71">
        <f t="shared" si="0"/>
        <v>1.0000000000000002</v>
      </c>
    </row>
    <row r="50" spans="1:33" x14ac:dyDescent="0.25">
      <c r="A50" s="15">
        <v>899</v>
      </c>
      <c r="B50">
        <v>6600</v>
      </c>
      <c r="C50">
        <v>4700</v>
      </c>
      <c r="D50">
        <v>8400</v>
      </c>
      <c r="E50">
        <v>8000</v>
      </c>
      <c r="F50">
        <v>7800</v>
      </c>
      <c r="G50">
        <v>6000</v>
      </c>
      <c r="H50">
        <v>8400</v>
      </c>
      <c r="I50" s="71">
        <v>0.02</v>
      </c>
      <c r="J50" s="71">
        <v>0.02</v>
      </c>
      <c r="K50" s="71">
        <v>0.02</v>
      </c>
      <c r="L50" s="71">
        <v>0.01</v>
      </c>
      <c r="M50" s="71">
        <v>0.01</v>
      </c>
      <c r="N50" s="71">
        <v>0.01</v>
      </c>
      <c r="O50" s="71">
        <v>0.02</v>
      </c>
      <c r="P50" s="71">
        <v>0.02</v>
      </c>
      <c r="Q50" s="71">
        <v>0.02</v>
      </c>
      <c r="R50" s="71">
        <v>7.0000000000000007E-2</v>
      </c>
      <c r="S50" s="71">
        <v>0.08</v>
      </c>
      <c r="T50" s="71">
        <v>0.08</v>
      </c>
      <c r="U50" s="71">
        <v>0.08</v>
      </c>
      <c r="V50" s="71">
        <v>0.08</v>
      </c>
      <c r="W50" s="71">
        <v>0.08</v>
      </c>
      <c r="X50" s="71">
        <v>7.0000000000000007E-2</v>
      </c>
      <c r="Y50" s="71">
        <v>7.0000000000000007E-2</v>
      </c>
      <c r="Z50" s="71">
        <v>7.0000000000000007E-2</v>
      </c>
      <c r="AA50" s="71">
        <v>0.03</v>
      </c>
      <c r="AB50" s="71">
        <v>0.03</v>
      </c>
      <c r="AC50" s="71">
        <v>0.03</v>
      </c>
      <c r="AD50" s="71">
        <v>0.03</v>
      </c>
      <c r="AE50" s="71">
        <v>0.03</v>
      </c>
      <c r="AF50" s="71">
        <v>0.02</v>
      </c>
      <c r="AG50" s="71">
        <f t="shared" si="0"/>
        <v>1.0000000000000002</v>
      </c>
    </row>
    <row r="51" spans="1:33" x14ac:dyDescent="0.25">
      <c r="A51" s="15">
        <v>1912</v>
      </c>
      <c r="B51">
        <v>3100</v>
      </c>
      <c r="C51">
        <v>4600</v>
      </c>
      <c r="D51">
        <v>7700</v>
      </c>
      <c r="E51">
        <v>2400</v>
      </c>
      <c r="F51">
        <v>5300</v>
      </c>
      <c r="G51">
        <v>2300</v>
      </c>
      <c r="H51">
        <v>2900</v>
      </c>
      <c r="I51" s="71">
        <v>0.02</v>
      </c>
      <c r="J51" s="71">
        <v>0.02</v>
      </c>
      <c r="K51" s="71">
        <v>0.02</v>
      </c>
      <c r="L51" s="71">
        <v>0.01</v>
      </c>
      <c r="M51" s="71">
        <v>0.01</v>
      </c>
      <c r="N51" s="71">
        <v>0.01</v>
      </c>
      <c r="O51" s="71">
        <v>0.02</v>
      </c>
      <c r="P51" s="71">
        <v>0.02</v>
      </c>
      <c r="Q51" s="71">
        <v>0.02</v>
      </c>
      <c r="R51" s="71">
        <v>7.0000000000000007E-2</v>
      </c>
      <c r="S51" s="71">
        <v>0.08</v>
      </c>
      <c r="T51" s="71">
        <v>0.08</v>
      </c>
      <c r="U51" s="71">
        <v>0.08</v>
      </c>
      <c r="V51" s="71">
        <v>0.08</v>
      </c>
      <c r="W51" s="71">
        <v>0.08</v>
      </c>
      <c r="X51" s="71">
        <v>7.0000000000000007E-2</v>
      </c>
      <c r="Y51" s="71">
        <v>7.0000000000000007E-2</v>
      </c>
      <c r="Z51" s="71">
        <v>7.0000000000000007E-2</v>
      </c>
      <c r="AA51" s="71">
        <v>0.03</v>
      </c>
      <c r="AB51" s="71">
        <v>0.03</v>
      </c>
      <c r="AC51" s="71">
        <v>0.03</v>
      </c>
      <c r="AD51" s="71">
        <v>0.03</v>
      </c>
      <c r="AE51" s="71">
        <v>0.03</v>
      </c>
      <c r="AF51" s="71">
        <v>0.02</v>
      </c>
      <c r="AG51" s="71">
        <f t="shared" si="0"/>
        <v>1.0000000000000002</v>
      </c>
    </row>
  </sheetData>
  <pageMargins left="0.7" right="0.7" top="0.75" bottom="0.75" header="0.3" footer="0.3"/>
  <ignoredErrors>
    <ignoredError sqref="U1" twoDigitTextYear="1"/>
    <ignoredError sqref="AG2 AG3:AG26" formulaRange="1"/>
  </ignoredError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AG51"/>
  <sheetViews>
    <sheetView showGridLines="0" workbookViewId="0">
      <selection activeCell="F7" sqref="F7"/>
    </sheetView>
  </sheetViews>
  <sheetFormatPr defaultRowHeight="15" x14ac:dyDescent="0.25"/>
  <sheetData>
    <row r="1" spans="1:33" x14ac:dyDescent="0.25">
      <c r="B1" s="15" t="s">
        <v>4</v>
      </c>
      <c r="C1" s="15" t="s">
        <v>5</v>
      </c>
      <c r="D1" s="15" t="s">
        <v>6</v>
      </c>
      <c r="E1" s="15" t="s">
        <v>7</v>
      </c>
      <c r="F1" s="15" t="s">
        <v>8</v>
      </c>
      <c r="G1" s="15" t="s">
        <v>9</v>
      </c>
      <c r="H1" s="15" t="s">
        <v>10</v>
      </c>
      <c r="I1" s="56" t="s">
        <v>168</v>
      </c>
      <c r="J1" s="57" t="s">
        <v>169</v>
      </c>
      <c r="K1" s="57" t="s">
        <v>170</v>
      </c>
      <c r="L1" s="57" t="s">
        <v>171</v>
      </c>
      <c r="M1" s="70" t="s">
        <v>194</v>
      </c>
      <c r="N1" s="57" t="s">
        <v>195</v>
      </c>
      <c r="O1" s="57" t="s">
        <v>196</v>
      </c>
      <c r="P1" s="57" t="s">
        <v>197</v>
      </c>
      <c r="Q1" s="57" t="s">
        <v>198</v>
      </c>
      <c r="R1" s="57" t="s">
        <v>199</v>
      </c>
      <c r="S1" s="57" t="s">
        <v>200</v>
      </c>
      <c r="T1" s="57" t="s">
        <v>201</v>
      </c>
      <c r="U1" s="57" t="s">
        <v>202</v>
      </c>
      <c r="V1" s="70" t="s">
        <v>203</v>
      </c>
      <c r="W1" s="57" t="s">
        <v>204</v>
      </c>
      <c r="X1" s="57" t="s">
        <v>205</v>
      </c>
      <c r="Y1" s="57" t="s">
        <v>206</v>
      </c>
      <c r="Z1" s="57" t="s">
        <v>207</v>
      </c>
      <c r="AA1" s="57" t="s">
        <v>208</v>
      </c>
      <c r="AB1" s="57" t="s">
        <v>209</v>
      </c>
      <c r="AC1" s="57" t="s">
        <v>210</v>
      </c>
      <c r="AD1" s="57" t="s">
        <v>211</v>
      </c>
      <c r="AE1" s="57" t="s">
        <v>212</v>
      </c>
      <c r="AF1" s="57" t="s">
        <v>172</v>
      </c>
    </row>
    <row r="2" spans="1:33" x14ac:dyDescent="0.25">
      <c r="A2" s="15">
        <v>1</v>
      </c>
      <c r="B2">
        <v>0</v>
      </c>
      <c r="C2">
        <v>0</v>
      </c>
      <c r="D2">
        <v>0</v>
      </c>
      <c r="E2">
        <v>0</v>
      </c>
      <c r="F2">
        <v>0</v>
      </c>
      <c r="G2">
        <v>0</v>
      </c>
      <c r="H2">
        <v>0</v>
      </c>
      <c r="I2" s="71">
        <v>0.01</v>
      </c>
      <c r="J2" s="71">
        <v>0.01</v>
      </c>
      <c r="K2" s="71">
        <v>0.01</v>
      </c>
      <c r="L2" s="71">
        <v>0.01</v>
      </c>
      <c r="M2" s="71">
        <v>0.01</v>
      </c>
      <c r="N2" s="71">
        <v>0.01</v>
      </c>
      <c r="O2" s="71">
        <v>0.02</v>
      </c>
      <c r="P2" s="71">
        <v>0.02</v>
      </c>
      <c r="Q2" s="71">
        <v>0.04</v>
      </c>
      <c r="R2" s="71">
        <v>7.0000000000000007E-2</v>
      </c>
      <c r="S2" s="71">
        <v>0.08</v>
      </c>
      <c r="T2" s="71">
        <v>0.08</v>
      </c>
      <c r="U2" s="71">
        <v>0.08</v>
      </c>
      <c r="V2" s="71">
        <v>0.08</v>
      </c>
      <c r="W2" s="71">
        <v>0.08</v>
      </c>
      <c r="X2" s="71">
        <v>0.08</v>
      </c>
      <c r="Y2" s="71">
        <v>7.0000000000000007E-2</v>
      </c>
      <c r="Z2" s="71">
        <v>7.0000000000000007E-2</v>
      </c>
      <c r="AA2" s="71">
        <v>0.03</v>
      </c>
      <c r="AB2" s="71">
        <v>0.03</v>
      </c>
      <c r="AC2" s="71">
        <v>0.03</v>
      </c>
      <c r="AD2" s="71">
        <v>0.03</v>
      </c>
      <c r="AE2" s="71">
        <v>0.03</v>
      </c>
      <c r="AF2" s="71">
        <v>0.02</v>
      </c>
      <c r="AG2" s="54">
        <f>SUM(I2:AF2)</f>
        <v>1.0000000000000002</v>
      </c>
    </row>
    <row r="3" spans="1:33" x14ac:dyDescent="0.25">
      <c r="A3" s="15">
        <v>3</v>
      </c>
      <c r="B3">
        <v>0</v>
      </c>
      <c r="C3">
        <v>0</v>
      </c>
      <c r="D3">
        <v>0</v>
      </c>
      <c r="E3">
        <v>0</v>
      </c>
      <c r="F3">
        <v>0</v>
      </c>
      <c r="G3">
        <v>0</v>
      </c>
      <c r="H3">
        <v>0</v>
      </c>
      <c r="I3" s="71">
        <v>0.01</v>
      </c>
      <c r="J3" s="71">
        <v>0.01</v>
      </c>
      <c r="K3" s="71">
        <v>0.01</v>
      </c>
      <c r="L3" s="71">
        <v>0.01</v>
      </c>
      <c r="M3" s="71">
        <v>0.01</v>
      </c>
      <c r="N3" s="71">
        <v>0.01</v>
      </c>
      <c r="O3" s="71">
        <v>0.02</v>
      </c>
      <c r="P3" s="71">
        <v>0.02</v>
      </c>
      <c r="Q3" s="71">
        <v>0.04</v>
      </c>
      <c r="R3" s="71">
        <v>7.0000000000000007E-2</v>
      </c>
      <c r="S3" s="71">
        <v>0.08</v>
      </c>
      <c r="T3" s="71">
        <v>0.08</v>
      </c>
      <c r="U3" s="71">
        <v>0.08</v>
      </c>
      <c r="V3" s="71">
        <v>0.08</v>
      </c>
      <c r="W3" s="71">
        <v>0.08</v>
      </c>
      <c r="X3" s="71">
        <v>0.08</v>
      </c>
      <c r="Y3" s="71">
        <v>7.0000000000000007E-2</v>
      </c>
      <c r="Z3" s="71">
        <v>7.0000000000000007E-2</v>
      </c>
      <c r="AA3" s="71">
        <v>0.03</v>
      </c>
      <c r="AB3" s="71">
        <v>0.03</v>
      </c>
      <c r="AC3" s="71">
        <v>0.03</v>
      </c>
      <c r="AD3" s="71">
        <v>0.03</v>
      </c>
      <c r="AE3" s="71">
        <v>0.03</v>
      </c>
      <c r="AF3" s="71">
        <v>0.02</v>
      </c>
      <c r="AG3" s="54">
        <f t="shared" ref="AG3:AG51" si="0">SUM(I3:AF3)</f>
        <v>1.0000000000000002</v>
      </c>
    </row>
    <row r="4" spans="1:33" x14ac:dyDescent="0.25">
      <c r="A4" s="15">
        <v>5</v>
      </c>
      <c r="B4">
        <v>0</v>
      </c>
      <c r="C4">
        <v>0</v>
      </c>
      <c r="D4">
        <v>0</v>
      </c>
      <c r="E4">
        <v>0</v>
      </c>
      <c r="F4">
        <v>0</v>
      </c>
      <c r="G4">
        <v>0</v>
      </c>
      <c r="H4">
        <v>0</v>
      </c>
      <c r="I4" s="71">
        <v>0.01</v>
      </c>
      <c r="J4" s="71">
        <v>0.01</v>
      </c>
      <c r="K4" s="71">
        <v>0.01</v>
      </c>
      <c r="L4" s="71">
        <v>0.01</v>
      </c>
      <c r="M4" s="71">
        <v>0.01</v>
      </c>
      <c r="N4" s="71">
        <v>0.01</v>
      </c>
      <c r="O4" s="71">
        <v>0.02</v>
      </c>
      <c r="P4" s="71">
        <v>0.02</v>
      </c>
      <c r="Q4" s="71">
        <v>0.04</v>
      </c>
      <c r="R4" s="71">
        <v>7.0000000000000007E-2</v>
      </c>
      <c r="S4" s="71">
        <v>0.08</v>
      </c>
      <c r="T4" s="71">
        <v>0.08</v>
      </c>
      <c r="U4" s="71">
        <v>0.08</v>
      </c>
      <c r="V4" s="71">
        <v>0.08</v>
      </c>
      <c r="W4" s="71">
        <v>0.08</v>
      </c>
      <c r="X4" s="71">
        <v>0.08</v>
      </c>
      <c r="Y4" s="71">
        <v>7.0000000000000007E-2</v>
      </c>
      <c r="Z4" s="71">
        <v>7.0000000000000007E-2</v>
      </c>
      <c r="AA4" s="71">
        <v>0.03</v>
      </c>
      <c r="AB4" s="71">
        <v>0.03</v>
      </c>
      <c r="AC4" s="71">
        <v>0.03</v>
      </c>
      <c r="AD4" s="71">
        <v>0.03</v>
      </c>
      <c r="AE4" s="71">
        <v>0.03</v>
      </c>
      <c r="AF4" s="71">
        <v>0.02</v>
      </c>
      <c r="AG4" s="54">
        <f t="shared" si="0"/>
        <v>1.0000000000000002</v>
      </c>
    </row>
    <row r="5" spans="1:33" x14ac:dyDescent="0.25">
      <c r="A5" s="15">
        <v>11</v>
      </c>
      <c r="B5">
        <v>0</v>
      </c>
      <c r="C5">
        <v>0</v>
      </c>
      <c r="D5">
        <v>0</v>
      </c>
      <c r="E5">
        <v>0</v>
      </c>
      <c r="F5">
        <v>0</v>
      </c>
      <c r="G5">
        <v>0</v>
      </c>
      <c r="H5">
        <v>0</v>
      </c>
      <c r="I5" s="71">
        <v>0.01</v>
      </c>
      <c r="J5" s="71">
        <v>0.01</v>
      </c>
      <c r="K5" s="71">
        <v>0.01</v>
      </c>
      <c r="L5" s="71">
        <v>0.01</v>
      </c>
      <c r="M5" s="71">
        <v>0.01</v>
      </c>
      <c r="N5" s="71">
        <v>0.01</v>
      </c>
      <c r="O5" s="71">
        <v>0.02</v>
      </c>
      <c r="P5" s="71">
        <v>0.02</v>
      </c>
      <c r="Q5" s="71">
        <v>0.04</v>
      </c>
      <c r="R5" s="71">
        <v>7.0000000000000007E-2</v>
      </c>
      <c r="S5" s="71">
        <v>0.08</v>
      </c>
      <c r="T5" s="71">
        <v>0.08</v>
      </c>
      <c r="U5" s="71">
        <v>0.08</v>
      </c>
      <c r="V5" s="71">
        <v>0.08</v>
      </c>
      <c r="W5" s="71">
        <v>0.08</v>
      </c>
      <c r="X5" s="71">
        <v>0.08</v>
      </c>
      <c r="Y5" s="71">
        <v>7.0000000000000007E-2</v>
      </c>
      <c r="Z5" s="71">
        <v>7.0000000000000007E-2</v>
      </c>
      <c r="AA5" s="71">
        <v>0.03</v>
      </c>
      <c r="AB5" s="71">
        <v>0.03</v>
      </c>
      <c r="AC5" s="71">
        <v>0.03</v>
      </c>
      <c r="AD5" s="71">
        <v>0.03</v>
      </c>
      <c r="AE5" s="71">
        <v>0.03</v>
      </c>
      <c r="AF5" s="71">
        <v>0.02</v>
      </c>
      <c r="AG5" s="54">
        <f t="shared" si="0"/>
        <v>1.0000000000000002</v>
      </c>
    </row>
    <row r="6" spans="1:33" x14ac:dyDescent="0.25">
      <c r="A6" s="15">
        <v>12</v>
      </c>
      <c r="B6">
        <v>0</v>
      </c>
      <c r="C6">
        <v>0</v>
      </c>
      <c r="D6">
        <v>0</v>
      </c>
      <c r="E6">
        <v>0</v>
      </c>
      <c r="F6">
        <v>0</v>
      </c>
      <c r="G6">
        <v>0</v>
      </c>
      <c r="H6">
        <v>0</v>
      </c>
      <c r="I6" s="71">
        <v>0.01</v>
      </c>
      <c r="J6" s="71">
        <v>0.01</v>
      </c>
      <c r="K6" s="71">
        <v>0.01</v>
      </c>
      <c r="L6" s="71">
        <v>0.01</v>
      </c>
      <c r="M6" s="71">
        <v>0.01</v>
      </c>
      <c r="N6" s="71">
        <v>0.01</v>
      </c>
      <c r="O6" s="71">
        <v>0.02</v>
      </c>
      <c r="P6" s="71">
        <v>0.02</v>
      </c>
      <c r="Q6" s="71">
        <v>0.04</v>
      </c>
      <c r="R6" s="71">
        <v>7.0000000000000007E-2</v>
      </c>
      <c r="S6" s="71">
        <v>0.08</v>
      </c>
      <c r="T6" s="71">
        <v>0.08</v>
      </c>
      <c r="U6" s="71">
        <v>0.08</v>
      </c>
      <c r="V6" s="71">
        <v>0.08</v>
      </c>
      <c r="W6" s="71">
        <v>0.08</v>
      </c>
      <c r="X6" s="71">
        <v>0.08</v>
      </c>
      <c r="Y6" s="71">
        <v>7.0000000000000007E-2</v>
      </c>
      <c r="Z6" s="71">
        <v>7.0000000000000007E-2</v>
      </c>
      <c r="AA6" s="71">
        <v>0.03</v>
      </c>
      <c r="AB6" s="71">
        <v>0.03</v>
      </c>
      <c r="AC6" s="71">
        <v>0.03</v>
      </c>
      <c r="AD6" s="71">
        <v>0.03</v>
      </c>
      <c r="AE6" s="71">
        <v>0.03</v>
      </c>
      <c r="AF6" s="71">
        <v>0.02</v>
      </c>
      <c r="AG6" s="54">
        <f t="shared" si="0"/>
        <v>1.0000000000000002</v>
      </c>
    </row>
    <row r="7" spans="1:33" x14ac:dyDescent="0.25">
      <c r="A7" s="15">
        <v>29</v>
      </c>
      <c r="B7">
        <v>50000</v>
      </c>
      <c r="C7">
        <v>0</v>
      </c>
      <c r="D7">
        <v>0</v>
      </c>
      <c r="E7">
        <v>0</v>
      </c>
      <c r="F7">
        <v>0</v>
      </c>
      <c r="G7">
        <v>0</v>
      </c>
      <c r="H7">
        <v>0</v>
      </c>
      <c r="I7" s="71">
        <v>0.01</v>
      </c>
      <c r="J7" s="71">
        <v>0.01</v>
      </c>
      <c r="K7" s="71">
        <v>0.01</v>
      </c>
      <c r="L7" s="71">
        <v>0.01</v>
      </c>
      <c r="M7" s="71">
        <v>0.01</v>
      </c>
      <c r="N7" s="71">
        <v>0.01</v>
      </c>
      <c r="O7" s="71">
        <v>0.02</v>
      </c>
      <c r="P7" s="71">
        <v>0.02</v>
      </c>
      <c r="Q7" s="71">
        <v>0.04</v>
      </c>
      <c r="R7" s="71">
        <v>7.0000000000000007E-2</v>
      </c>
      <c r="S7" s="71">
        <v>0.08</v>
      </c>
      <c r="T7" s="71">
        <v>0.08</v>
      </c>
      <c r="U7" s="71">
        <v>0.08</v>
      </c>
      <c r="V7" s="71">
        <v>0.08</v>
      </c>
      <c r="W7" s="71">
        <v>0.08</v>
      </c>
      <c r="X7" s="71">
        <v>0.08</v>
      </c>
      <c r="Y7" s="71">
        <v>7.0000000000000007E-2</v>
      </c>
      <c r="Z7" s="71">
        <v>7.0000000000000007E-2</v>
      </c>
      <c r="AA7" s="71">
        <v>0.03</v>
      </c>
      <c r="AB7" s="71">
        <v>0.03</v>
      </c>
      <c r="AC7" s="71">
        <v>0.03</v>
      </c>
      <c r="AD7" s="71">
        <v>0.03</v>
      </c>
      <c r="AE7" s="71">
        <v>0.03</v>
      </c>
      <c r="AF7" s="71">
        <v>0.02</v>
      </c>
      <c r="AG7" s="54">
        <f t="shared" si="0"/>
        <v>1.0000000000000002</v>
      </c>
    </row>
    <row r="8" spans="1:33" x14ac:dyDescent="0.25">
      <c r="A8" s="15">
        <v>70</v>
      </c>
      <c r="B8">
        <v>0</v>
      </c>
      <c r="C8">
        <v>0</v>
      </c>
      <c r="D8">
        <v>0</v>
      </c>
      <c r="E8">
        <v>0</v>
      </c>
      <c r="F8">
        <v>0</v>
      </c>
      <c r="G8">
        <v>0</v>
      </c>
      <c r="H8">
        <v>0</v>
      </c>
      <c r="I8" s="71">
        <v>0.01</v>
      </c>
      <c r="J8" s="71">
        <v>0.01</v>
      </c>
      <c r="K8" s="71">
        <v>0.01</v>
      </c>
      <c r="L8" s="71">
        <v>0.01</v>
      </c>
      <c r="M8" s="71">
        <v>0.01</v>
      </c>
      <c r="N8" s="71">
        <v>0.01</v>
      </c>
      <c r="O8" s="71">
        <v>0.02</v>
      </c>
      <c r="P8" s="71">
        <v>0.02</v>
      </c>
      <c r="Q8" s="71">
        <v>0.04</v>
      </c>
      <c r="R8" s="71">
        <v>7.0000000000000007E-2</v>
      </c>
      <c r="S8" s="71">
        <v>0.08</v>
      </c>
      <c r="T8" s="71">
        <v>0.08</v>
      </c>
      <c r="U8" s="71">
        <v>0.08</v>
      </c>
      <c r="V8" s="71">
        <v>0.08</v>
      </c>
      <c r="W8" s="71">
        <v>0.08</v>
      </c>
      <c r="X8" s="71">
        <v>0.08</v>
      </c>
      <c r="Y8" s="71">
        <v>7.0000000000000007E-2</v>
      </c>
      <c r="Z8" s="71">
        <v>7.0000000000000007E-2</v>
      </c>
      <c r="AA8" s="71">
        <v>0.03</v>
      </c>
      <c r="AB8" s="71">
        <v>0.03</v>
      </c>
      <c r="AC8" s="71">
        <v>0.03</v>
      </c>
      <c r="AD8" s="71">
        <v>0.03</v>
      </c>
      <c r="AE8" s="71">
        <v>0.03</v>
      </c>
      <c r="AF8" s="71">
        <v>0.02</v>
      </c>
      <c r="AG8" s="54">
        <f t="shared" si="0"/>
        <v>1.0000000000000002</v>
      </c>
    </row>
    <row r="9" spans="1:33" x14ac:dyDescent="0.25">
      <c r="A9" s="15">
        <v>71</v>
      </c>
      <c r="B9">
        <v>0</v>
      </c>
      <c r="C9">
        <v>0</v>
      </c>
      <c r="D9">
        <v>0</v>
      </c>
      <c r="E9">
        <v>0</v>
      </c>
      <c r="F9">
        <v>0</v>
      </c>
      <c r="G9">
        <v>0</v>
      </c>
      <c r="H9">
        <v>0</v>
      </c>
      <c r="I9" s="71">
        <v>0.01</v>
      </c>
      <c r="J9" s="71">
        <v>0.01</v>
      </c>
      <c r="K9" s="71">
        <v>0.01</v>
      </c>
      <c r="L9" s="71">
        <v>0.01</v>
      </c>
      <c r="M9" s="71">
        <v>0.01</v>
      </c>
      <c r="N9" s="71">
        <v>0.01</v>
      </c>
      <c r="O9" s="71">
        <v>0.02</v>
      </c>
      <c r="P9" s="71">
        <v>0.02</v>
      </c>
      <c r="Q9" s="71">
        <v>0.04</v>
      </c>
      <c r="R9" s="71">
        <v>7.0000000000000007E-2</v>
      </c>
      <c r="S9" s="71">
        <v>0.08</v>
      </c>
      <c r="T9" s="71">
        <v>0.08</v>
      </c>
      <c r="U9" s="71">
        <v>0.08</v>
      </c>
      <c r="V9" s="71">
        <v>0.08</v>
      </c>
      <c r="W9" s="71">
        <v>0.08</v>
      </c>
      <c r="X9" s="71">
        <v>0.08</v>
      </c>
      <c r="Y9" s="71">
        <v>7.0000000000000007E-2</v>
      </c>
      <c r="Z9" s="71">
        <v>7.0000000000000007E-2</v>
      </c>
      <c r="AA9" s="71">
        <v>0.03</v>
      </c>
      <c r="AB9" s="71">
        <v>0.03</v>
      </c>
      <c r="AC9" s="71">
        <v>0.03</v>
      </c>
      <c r="AD9" s="71">
        <v>0.03</v>
      </c>
      <c r="AE9" s="71">
        <v>0.03</v>
      </c>
      <c r="AF9" s="71">
        <v>0.02</v>
      </c>
      <c r="AG9" s="54">
        <f t="shared" si="0"/>
        <v>1.0000000000000002</v>
      </c>
    </row>
    <row r="10" spans="1:33" x14ac:dyDescent="0.25">
      <c r="A10" s="15">
        <v>384</v>
      </c>
      <c r="B10">
        <v>0</v>
      </c>
      <c r="C10">
        <v>0</v>
      </c>
      <c r="D10">
        <v>0</v>
      </c>
      <c r="E10">
        <v>0</v>
      </c>
      <c r="F10">
        <v>0</v>
      </c>
      <c r="G10">
        <v>0</v>
      </c>
      <c r="H10">
        <v>0</v>
      </c>
      <c r="I10" s="71">
        <v>0.01</v>
      </c>
      <c r="J10" s="71">
        <v>0.01</v>
      </c>
      <c r="K10" s="71">
        <v>0.01</v>
      </c>
      <c r="L10" s="71">
        <v>0.01</v>
      </c>
      <c r="M10" s="71">
        <v>0.01</v>
      </c>
      <c r="N10" s="71">
        <v>0.01</v>
      </c>
      <c r="O10" s="71">
        <v>0.02</v>
      </c>
      <c r="P10" s="71">
        <v>0.02</v>
      </c>
      <c r="Q10" s="71">
        <v>0.04</v>
      </c>
      <c r="R10" s="71">
        <v>7.0000000000000007E-2</v>
      </c>
      <c r="S10" s="71">
        <v>0.08</v>
      </c>
      <c r="T10" s="71">
        <v>0.08</v>
      </c>
      <c r="U10" s="71">
        <v>0.08</v>
      </c>
      <c r="V10" s="71">
        <v>0.08</v>
      </c>
      <c r="W10" s="71">
        <v>0.08</v>
      </c>
      <c r="X10" s="71">
        <v>0.08</v>
      </c>
      <c r="Y10" s="71">
        <v>7.0000000000000007E-2</v>
      </c>
      <c r="Z10" s="71">
        <v>7.0000000000000007E-2</v>
      </c>
      <c r="AA10" s="71">
        <v>0.03</v>
      </c>
      <c r="AB10" s="71">
        <v>0.03</v>
      </c>
      <c r="AC10" s="71">
        <v>0.03</v>
      </c>
      <c r="AD10" s="71">
        <v>0.03</v>
      </c>
      <c r="AE10" s="71">
        <v>0.03</v>
      </c>
      <c r="AF10" s="71">
        <v>0.02</v>
      </c>
      <c r="AG10" s="54">
        <f t="shared" si="0"/>
        <v>1.0000000000000002</v>
      </c>
    </row>
    <row r="11" spans="1:33" x14ac:dyDescent="0.25">
      <c r="A11" s="15">
        <v>429</v>
      </c>
      <c r="B11">
        <v>0</v>
      </c>
      <c r="C11">
        <v>0</v>
      </c>
      <c r="D11">
        <v>0</v>
      </c>
      <c r="E11">
        <v>0</v>
      </c>
      <c r="F11">
        <v>0</v>
      </c>
      <c r="G11">
        <v>0</v>
      </c>
      <c r="H11">
        <v>0</v>
      </c>
      <c r="I11" s="71">
        <v>0.01</v>
      </c>
      <c r="J11" s="71">
        <v>0.01</v>
      </c>
      <c r="K11" s="71">
        <v>0.01</v>
      </c>
      <c r="L11" s="71">
        <v>0.01</v>
      </c>
      <c r="M11" s="71">
        <v>0.01</v>
      </c>
      <c r="N11" s="71">
        <v>0.01</v>
      </c>
      <c r="O11" s="71">
        <v>0.02</v>
      </c>
      <c r="P11" s="71">
        <v>0.02</v>
      </c>
      <c r="Q11" s="71">
        <v>0.04</v>
      </c>
      <c r="R11" s="71">
        <v>7.0000000000000007E-2</v>
      </c>
      <c r="S11" s="71">
        <v>0.08</v>
      </c>
      <c r="T11" s="71">
        <v>0.08</v>
      </c>
      <c r="U11" s="71">
        <v>0.08</v>
      </c>
      <c r="V11" s="71">
        <v>0.08</v>
      </c>
      <c r="W11" s="71">
        <v>0.08</v>
      </c>
      <c r="X11" s="71">
        <v>0.08</v>
      </c>
      <c r="Y11" s="71">
        <v>7.0000000000000007E-2</v>
      </c>
      <c r="Z11" s="71">
        <v>7.0000000000000007E-2</v>
      </c>
      <c r="AA11" s="71">
        <v>0.03</v>
      </c>
      <c r="AB11" s="71">
        <v>0.03</v>
      </c>
      <c r="AC11" s="71">
        <v>0.03</v>
      </c>
      <c r="AD11" s="71">
        <v>0.03</v>
      </c>
      <c r="AE11" s="71">
        <v>0.03</v>
      </c>
      <c r="AF11" s="71">
        <v>0.02</v>
      </c>
      <c r="AG11" s="54">
        <f t="shared" si="0"/>
        <v>1.0000000000000002</v>
      </c>
    </row>
    <row r="12" spans="1:33" x14ac:dyDescent="0.25">
      <c r="A12" s="15">
        <v>486</v>
      </c>
      <c r="B12">
        <v>0</v>
      </c>
      <c r="C12">
        <v>0</v>
      </c>
      <c r="D12">
        <v>0</v>
      </c>
      <c r="E12">
        <v>0</v>
      </c>
      <c r="F12">
        <v>0</v>
      </c>
      <c r="G12">
        <v>0</v>
      </c>
      <c r="H12">
        <v>0</v>
      </c>
      <c r="I12" s="71">
        <v>0.01</v>
      </c>
      <c r="J12" s="71">
        <v>0.01</v>
      </c>
      <c r="K12" s="71">
        <v>0.01</v>
      </c>
      <c r="L12" s="71">
        <v>0.01</v>
      </c>
      <c r="M12" s="71">
        <v>0.01</v>
      </c>
      <c r="N12" s="71">
        <v>0.01</v>
      </c>
      <c r="O12" s="71">
        <v>0.02</v>
      </c>
      <c r="P12" s="71">
        <v>0.02</v>
      </c>
      <c r="Q12" s="71">
        <v>0.04</v>
      </c>
      <c r="R12" s="71">
        <v>7.0000000000000007E-2</v>
      </c>
      <c r="S12" s="71">
        <v>0.08</v>
      </c>
      <c r="T12" s="71">
        <v>0.08</v>
      </c>
      <c r="U12" s="71">
        <v>0.08</v>
      </c>
      <c r="V12" s="71">
        <v>0.08</v>
      </c>
      <c r="W12" s="71">
        <v>0.08</v>
      </c>
      <c r="X12" s="71">
        <v>0.08</v>
      </c>
      <c r="Y12" s="71">
        <v>7.0000000000000007E-2</v>
      </c>
      <c r="Z12" s="71">
        <v>7.0000000000000007E-2</v>
      </c>
      <c r="AA12" s="71">
        <v>0.03</v>
      </c>
      <c r="AB12" s="71">
        <v>0.03</v>
      </c>
      <c r="AC12" s="71">
        <v>0.03</v>
      </c>
      <c r="AD12" s="71">
        <v>0.03</v>
      </c>
      <c r="AE12" s="71">
        <v>0.03</v>
      </c>
      <c r="AF12" s="71">
        <v>0.02</v>
      </c>
      <c r="AG12" s="54">
        <f t="shared" si="0"/>
        <v>1.0000000000000002</v>
      </c>
    </row>
    <row r="13" spans="1:33" x14ac:dyDescent="0.25">
      <c r="A13" s="15">
        <v>546</v>
      </c>
      <c r="B13">
        <v>0</v>
      </c>
      <c r="C13">
        <v>0</v>
      </c>
      <c r="D13">
        <v>0</v>
      </c>
      <c r="E13">
        <v>0</v>
      </c>
      <c r="F13">
        <v>0</v>
      </c>
      <c r="G13">
        <v>0</v>
      </c>
      <c r="H13">
        <v>0</v>
      </c>
      <c r="I13" s="71">
        <v>0.01</v>
      </c>
      <c r="J13" s="71">
        <v>0.01</v>
      </c>
      <c r="K13" s="71">
        <v>0.01</v>
      </c>
      <c r="L13" s="71">
        <v>0.01</v>
      </c>
      <c r="M13" s="71">
        <v>0.01</v>
      </c>
      <c r="N13" s="71">
        <v>0.01</v>
      </c>
      <c r="O13" s="71">
        <v>0.02</v>
      </c>
      <c r="P13" s="71">
        <v>0.02</v>
      </c>
      <c r="Q13" s="71">
        <v>0.04</v>
      </c>
      <c r="R13" s="71">
        <v>7.0000000000000007E-2</v>
      </c>
      <c r="S13" s="71">
        <v>0.08</v>
      </c>
      <c r="T13" s="71">
        <v>0.08</v>
      </c>
      <c r="U13" s="71">
        <v>0.08</v>
      </c>
      <c r="V13" s="71">
        <v>0.08</v>
      </c>
      <c r="W13" s="71">
        <v>0.08</v>
      </c>
      <c r="X13" s="71">
        <v>0.08</v>
      </c>
      <c r="Y13" s="71">
        <v>7.0000000000000007E-2</v>
      </c>
      <c r="Z13" s="71">
        <v>7.0000000000000007E-2</v>
      </c>
      <c r="AA13" s="71">
        <v>0.03</v>
      </c>
      <c r="AB13" s="71">
        <v>0.03</v>
      </c>
      <c r="AC13" s="71">
        <v>0.03</v>
      </c>
      <c r="AD13" s="71">
        <v>0.03</v>
      </c>
      <c r="AE13" s="71">
        <v>0.03</v>
      </c>
      <c r="AF13" s="71">
        <v>0.02</v>
      </c>
      <c r="AG13" s="54">
        <f t="shared" si="0"/>
        <v>1.0000000000000002</v>
      </c>
    </row>
    <row r="14" spans="1:33" x14ac:dyDescent="0.25">
      <c r="A14" s="15">
        <v>599</v>
      </c>
      <c r="B14">
        <v>0</v>
      </c>
      <c r="C14">
        <v>0</v>
      </c>
      <c r="D14">
        <v>0</v>
      </c>
      <c r="E14">
        <v>0</v>
      </c>
      <c r="F14">
        <v>0</v>
      </c>
      <c r="G14">
        <v>0</v>
      </c>
      <c r="H14">
        <v>0</v>
      </c>
      <c r="I14" s="71">
        <v>0.01</v>
      </c>
      <c r="J14" s="71">
        <v>0.01</v>
      </c>
      <c r="K14" s="71">
        <v>0.01</v>
      </c>
      <c r="L14" s="71">
        <v>0.01</v>
      </c>
      <c r="M14" s="71">
        <v>0.01</v>
      </c>
      <c r="N14" s="71">
        <v>0.01</v>
      </c>
      <c r="O14" s="71">
        <v>0.02</v>
      </c>
      <c r="P14" s="71">
        <v>0.02</v>
      </c>
      <c r="Q14" s="71">
        <v>0.04</v>
      </c>
      <c r="R14" s="71">
        <v>7.0000000000000007E-2</v>
      </c>
      <c r="S14" s="71">
        <v>0.08</v>
      </c>
      <c r="T14" s="71">
        <v>0.08</v>
      </c>
      <c r="U14" s="71">
        <v>0.08</v>
      </c>
      <c r="V14" s="71">
        <v>0.08</v>
      </c>
      <c r="W14" s="71">
        <v>0.08</v>
      </c>
      <c r="X14" s="71">
        <v>0.08</v>
      </c>
      <c r="Y14" s="71">
        <v>7.0000000000000007E-2</v>
      </c>
      <c r="Z14" s="71">
        <v>7.0000000000000007E-2</v>
      </c>
      <c r="AA14" s="71">
        <v>0.03</v>
      </c>
      <c r="AB14" s="71">
        <v>0.03</v>
      </c>
      <c r="AC14" s="71">
        <v>0.03</v>
      </c>
      <c r="AD14" s="71">
        <v>0.03</v>
      </c>
      <c r="AE14" s="71">
        <v>0.03</v>
      </c>
      <c r="AF14" s="71">
        <v>0.02</v>
      </c>
      <c r="AG14" s="54">
        <f t="shared" si="0"/>
        <v>1.0000000000000002</v>
      </c>
    </row>
    <row r="15" spans="1:33" x14ac:dyDescent="0.25">
      <c r="A15" s="15">
        <v>620</v>
      </c>
      <c r="B15">
        <v>0</v>
      </c>
      <c r="C15">
        <v>0</v>
      </c>
      <c r="D15">
        <v>0</v>
      </c>
      <c r="E15">
        <v>0</v>
      </c>
      <c r="F15">
        <v>0</v>
      </c>
      <c r="G15">
        <v>0</v>
      </c>
      <c r="H15">
        <v>0</v>
      </c>
      <c r="I15" s="71">
        <v>0.01</v>
      </c>
      <c r="J15" s="71">
        <v>0.01</v>
      </c>
      <c r="K15" s="71">
        <v>0.01</v>
      </c>
      <c r="L15" s="71">
        <v>0.01</v>
      </c>
      <c r="M15" s="71">
        <v>0.01</v>
      </c>
      <c r="N15" s="71">
        <v>0.01</v>
      </c>
      <c r="O15" s="71">
        <v>0.02</v>
      </c>
      <c r="P15" s="71">
        <v>0.02</v>
      </c>
      <c r="Q15" s="71">
        <v>0.04</v>
      </c>
      <c r="R15" s="71">
        <v>7.0000000000000007E-2</v>
      </c>
      <c r="S15" s="71">
        <v>0.08</v>
      </c>
      <c r="T15" s="71">
        <v>0.08</v>
      </c>
      <c r="U15" s="71">
        <v>0.08</v>
      </c>
      <c r="V15" s="71">
        <v>0.08</v>
      </c>
      <c r="W15" s="71">
        <v>0.08</v>
      </c>
      <c r="X15" s="71">
        <v>0.08</v>
      </c>
      <c r="Y15" s="71">
        <v>7.0000000000000007E-2</v>
      </c>
      <c r="Z15" s="71">
        <v>7.0000000000000007E-2</v>
      </c>
      <c r="AA15" s="71">
        <v>0.03</v>
      </c>
      <c r="AB15" s="71">
        <v>0.03</v>
      </c>
      <c r="AC15" s="71">
        <v>0.03</v>
      </c>
      <c r="AD15" s="71">
        <v>0.03</v>
      </c>
      <c r="AE15" s="71">
        <v>0.03</v>
      </c>
      <c r="AF15" s="71">
        <v>0.02</v>
      </c>
      <c r="AG15" s="54">
        <f t="shared" si="0"/>
        <v>1.0000000000000002</v>
      </c>
    </row>
    <row r="16" spans="1:33" x14ac:dyDescent="0.25">
      <c r="A16" s="15">
        <v>626</v>
      </c>
      <c r="B16">
        <v>0</v>
      </c>
      <c r="C16">
        <v>0</v>
      </c>
      <c r="D16">
        <v>0</v>
      </c>
      <c r="E16">
        <v>0</v>
      </c>
      <c r="F16">
        <v>0</v>
      </c>
      <c r="G16">
        <v>0</v>
      </c>
      <c r="H16">
        <v>0</v>
      </c>
      <c r="I16" s="71">
        <v>0.01</v>
      </c>
      <c r="J16" s="71">
        <v>0.01</v>
      </c>
      <c r="K16" s="71">
        <v>0.01</v>
      </c>
      <c r="L16" s="71">
        <v>0.01</v>
      </c>
      <c r="M16" s="71">
        <v>0.01</v>
      </c>
      <c r="N16" s="71">
        <v>0.01</v>
      </c>
      <c r="O16" s="71">
        <v>0.02</v>
      </c>
      <c r="P16" s="71">
        <v>0.02</v>
      </c>
      <c r="Q16" s="71">
        <v>0.04</v>
      </c>
      <c r="R16" s="71">
        <v>7.0000000000000007E-2</v>
      </c>
      <c r="S16" s="71">
        <v>0.08</v>
      </c>
      <c r="T16" s="71">
        <v>0.08</v>
      </c>
      <c r="U16" s="71">
        <v>0.08</v>
      </c>
      <c r="V16" s="71">
        <v>0.08</v>
      </c>
      <c r="W16" s="71">
        <v>0.08</v>
      </c>
      <c r="X16" s="71">
        <v>0.08</v>
      </c>
      <c r="Y16" s="71">
        <v>7.0000000000000007E-2</v>
      </c>
      <c r="Z16" s="71">
        <v>7.0000000000000007E-2</v>
      </c>
      <c r="AA16" s="71">
        <v>0.03</v>
      </c>
      <c r="AB16" s="71">
        <v>0.03</v>
      </c>
      <c r="AC16" s="71">
        <v>0.03</v>
      </c>
      <c r="AD16" s="71">
        <v>0.03</v>
      </c>
      <c r="AE16" s="71">
        <v>0.03</v>
      </c>
      <c r="AF16" s="71">
        <v>0.02</v>
      </c>
      <c r="AG16" s="54">
        <f t="shared" si="0"/>
        <v>1.0000000000000002</v>
      </c>
    </row>
    <row r="17" spans="1:33" x14ac:dyDescent="0.25">
      <c r="A17" s="15">
        <v>627</v>
      </c>
      <c r="B17">
        <v>0</v>
      </c>
      <c r="C17">
        <v>0</v>
      </c>
      <c r="D17">
        <v>0</v>
      </c>
      <c r="E17">
        <v>0</v>
      </c>
      <c r="F17">
        <v>0</v>
      </c>
      <c r="G17">
        <v>0</v>
      </c>
      <c r="H17">
        <v>0</v>
      </c>
      <c r="I17" s="71">
        <v>0.01</v>
      </c>
      <c r="J17" s="71">
        <v>0.01</v>
      </c>
      <c r="K17" s="71">
        <v>0.01</v>
      </c>
      <c r="L17" s="71">
        <v>0.01</v>
      </c>
      <c r="M17" s="71">
        <v>0.01</v>
      </c>
      <c r="N17" s="71">
        <v>0.01</v>
      </c>
      <c r="O17" s="71">
        <v>0.02</v>
      </c>
      <c r="P17" s="71">
        <v>0.02</v>
      </c>
      <c r="Q17" s="71">
        <v>0.04</v>
      </c>
      <c r="R17" s="71">
        <v>7.0000000000000007E-2</v>
      </c>
      <c r="S17" s="71">
        <v>0.08</v>
      </c>
      <c r="T17" s="71">
        <v>0.08</v>
      </c>
      <c r="U17" s="71">
        <v>0.08</v>
      </c>
      <c r="V17" s="71">
        <v>0.08</v>
      </c>
      <c r="W17" s="71">
        <v>0.08</v>
      </c>
      <c r="X17" s="71">
        <v>0.08</v>
      </c>
      <c r="Y17" s="71">
        <v>7.0000000000000007E-2</v>
      </c>
      <c r="Z17" s="71">
        <v>7.0000000000000007E-2</v>
      </c>
      <c r="AA17" s="71">
        <v>0.03</v>
      </c>
      <c r="AB17" s="71">
        <v>0.03</v>
      </c>
      <c r="AC17" s="71">
        <v>0.03</v>
      </c>
      <c r="AD17" s="71">
        <v>0.03</v>
      </c>
      <c r="AE17" s="71">
        <v>0.03</v>
      </c>
      <c r="AF17" s="71">
        <v>0.02</v>
      </c>
      <c r="AG17" s="54">
        <f t="shared" si="0"/>
        <v>1.0000000000000002</v>
      </c>
    </row>
    <row r="18" spans="1:33" x14ac:dyDescent="0.25">
      <c r="A18" s="15">
        <v>651</v>
      </c>
      <c r="B18">
        <v>0</v>
      </c>
      <c r="C18">
        <v>0</v>
      </c>
      <c r="D18">
        <v>0</v>
      </c>
      <c r="E18">
        <v>0</v>
      </c>
      <c r="F18">
        <v>0</v>
      </c>
      <c r="G18">
        <v>0</v>
      </c>
      <c r="H18">
        <v>0</v>
      </c>
      <c r="I18" s="71">
        <v>0.01</v>
      </c>
      <c r="J18" s="71">
        <v>0.01</v>
      </c>
      <c r="K18" s="71">
        <v>0.01</v>
      </c>
      <c r="L18" s="71">
        <v>0.01</v>
      </c>
      <c r="M18" s="71">
        <v>0.01</v>
      </c>
      <c r="N18" s="71">
        <v>0.01</v>
      </c>
      <c r="O18" s="71">
        <v>0.02</v>
      </c>
      <c r="P18" s="71">
        <v>0.02</v>
      </c>
      <c r="Q18" s="71">
        <v>0.04</v>
      </c>
      <c r="R18" s="71">
        <v>7.0000000000000007E-2</v>
      </c>
      <c r="S18" s="71">
        <v>0.08</v>
      </c>
      <c r="T18" s="71">
        <v>0.08</v>
      </c>
      <c r="U18" s="71">
        <v>0.08</v>
      </c>
      <c r="V18" s="71">
        <v>0.08</v>
      </c>
      <c r="W18" s="71">
        <v>0.08</v>
      </c>
      <c r="X18" s="71">
        <v>0.08</v>
      </c>
      <c r="Y18" s="71">
        <v>7.0000000000000007E-2</v>
      </c>
      <c r="Z18" s="71">
        <v>7.0000000000000007E-2</v>
      </c>
      <c r="AA18" s="71">
        <v>0.03</v>
      </c>
      <c r="AB18" s="71">
        <v>0.03</v>
      </c>
      <c r="AC18" s="71">
        <v>0.03</v>
      </c>
      <c r="AD18" s="71">
        <v>0.03</v>
      </c>
      <c r="AE18" s="71">
        <v>0.03</v>
      </c>
      <c r="AF18" s="71">
        <v>0.02</v>
      </c>
      <c r="AG18" s="54">
        <f t="shared" si="0"/>
        <v>1.0000000000000002</v>
      </c>
    </row>
    <row r="19" spans="1:33" x14ac:dyDescent="0.25">
      <c r="A19" s="15">
        <v>668</v>
      </c>
      <c r="B19">
        <v>0</v>
      </c>
      <c r="C19">
        <v>0</v>
      </c>
      <c r="D19">
        <v>0</v>
      </c>
      <c r="E19">
        <v>0</v>
      </c>
      <c r="F19">
        <v>0</v>
      </c>
      <c r="G19">
        <v>0</v>
      </c>
      <c r="H19">
        <v>0</v>
      </c>
      <c r="I19" s="71">
        <v>0.01</v>
      </c>
      <c r="J19" s="71">
        <v>0.01</v>
      </c>
      <c r="K19" s="71">
        <v>0.01</v>
      </c>
      <c r="L19" s="71">
        <v>0.01</v>
      </c>
      <c r="M19" s="71">
        <v>0.01</v>
      </c>
      <c r="N19" s="71">
        <v>0.01</v>
      </c>
      <c r="O19" s="71">
        <v>0.02</v>
      </c>
      <c r="P19" s="71">
        <v>0.02</v>
      </c>
      <c r="Q19" s="71">
        <v>0.04</v>
      </c>
      <c r="R19" s="71">
        <v>7.0000000000000007E-2</v>
      </c>
      <c r="S19" s="71">
        <v>0.08</v>
      </c>
      <c r="T19" s="71">
        <v>0.08</v>
      </c>
      <c r="U19" s="71">
        <v>0.08</v>
      </c>
      <c r="V19" s="71">
        <v>0.08</v>
      </c>
      <c r="W19" s="71">
        <v>0.08</v>
      </c>
      <c r="X19" s="71">
        <v>0.08</v>
      </c>
      <c r="Y19" s="71">
        <v>7.0000000000000007E-2</v>
      </c>
      <c r="Z19" s="71">
        <v>7.0000000000000007E-2</v>
      </c>
      <c r="AA19" s="71">
        <v>0.03</v>
      </c>
      <c r="AB19" s="71">
        <v>0.03</v>
      </c>
      <c r="AC19" s="71">
        <v>0.03</v>
      </c>
      <c r="AD19" s="71">
        <v>0.03</v>
      </c>
      <c r="AE19" s="71">
        <v>0.03</v>
      </c>
      <c r="AF19" s="71">
        <v>0.02</v>
      </c>
      <c r="AG19" s="54">
        <f t="shared" si="0"/>
        <v>1.0000000000000002</v>
      </c>
    </row>
    <row r="20" spans="1:33" x14ac:dyDescent="0.25">
      <c r="A20" s="15">
        <v>681</v>
      </c>
      <c r="B20">
        <v>0</v>
      </c>
      <c r="C20">
        <v>0</v>
      </c>
      <c r="D20">
        <v>0</v>
      </c>
      <c r="E20">
        <v>0</v>
      </c>
      <c r="F20">
        <v>0</v>
      </c>
      <c r="G20">
        <v>0</v>
      </c>
      <c r="H20">
        <v>0</v>
      </c>
      <c r="I20" s="71">
        <v>0.01</v>
      </c>
      <c r="J20" s="71">
        <v>0.01</v>
      </c>
      <c r="K20" s="71">
        <v>0.01</v>
      </c>
      <c r="L20" s="71">
        <v>0.01</v>
      </c>
      <c r="M20" s="71">
        <v>0.01</v>
      </c>
      <c r="N20" s="71">
        <v>0.01</v>
      </c>
      <c r="O20" s="71">
        <v>0.02</v>
      </c>
      <c r="P20" s="71">
        <v>0.02</v>
      </c>
      <c r="Q20" s="71">
        <v>0.04</v>
      </c>
      <c r="R20" s="71">
        <v>7.0000000000000007E-2</v>
      </c>
      <c r="S20" s="71">
        <v>0.08</v>
      </c>
      <c r="T20" s="71">
        <v>0.08</v>
      </c>
      <c r="U20" s="71">
        <v>0.08</v>
      </c>
      <c r="V20" s="71">
        <v>0.08</v>
      </c>
      <c r="W20" s="71">
        <v>0.08</v>
      </c>
      <c r="X20" s="71">
        <v>0.08</v>
      </c>
      <c r="Y20" s="71">
        <v>7.0000000000000007E-2</v>
      </c>
      <c r="Z20" s="71">
        <v>7.0000000000000007E-2</v>
      </c>
      <c r="AA20" s="71">
        <v>0.03</v>
      </c>
      <c r="AB20" s="71">
        <v>0.03</v>
      </c>
      <c r="AC20" s="71">
        <v>0.03</v>
      </c>
      <c r="AD20" s="71">
        <v>0.03</v>
      </c>
      <c r="AE20" s="71">
        <v>0.03</v>
      </c>
      <c r="AF20" s="71">
        <v>0.02</v>
      </c>
      <c r="AG20" s="54">
        <f t="shared" si="0"/>
        <v>1.0000000000000002</v>
      </c>
    </row>
    <row r="21" spans="1:33" x14ac:dyDescent="0.25">
      <c r="A21" s="15">
        <v>682</v>
      </c>
      <c r="B21">
        <v>0</v>
      </c>
      <c r="C21">
        <v>0</v>
      </c>
      <c r="D21">
        <v>0</v>
      </c>
      <c r="E21">
        <v>0</v>
      </c>
      <c r="F21">
        <v>0</v>
      </c>
      <c r="G21">
        <v>0</v>
      </c>
      <c r="H21">
        <v>0</v>
      </c>
      <c r="I21" s="71">
        <v>0.01</v>
      </c>
      <c r="J21" s="71">
        <v>0.01</v>
      </c>
      <c r="K21" s="71">
        <v>0.01</v>
      </c>
      <c r="L21" s="71">
        <v>0.01</v>
      </c>
      <c r="M21" s="71">
        <v>0.01</v>
      </c>
      <c r="N21" s="71">
        <v>0.01</v>
      </c>
      <c r="O21" s="71">
        <v>0.02</v>
      </c>
      <c r="P21" s="71">
        <v>0.02</v>
      </c>
      <c r="Q21" s="71">
        <v>0.04</v>
      </c>
      <c r="R21" s="71">
        <v>7.0000000000000007E-2</v>
      </c>
      <c r="S21" s="71">
        <v>0.08</v>
      </c>
      <c r="T21" s="71">
        <v>0.08</v>
      </c>
      <c r="U21" s="71">
        <v>0.08</v>
      </c>
      <c r="V21" s="71">
        <v>0.08</v>
      </c>
      <c r="W21" s="71">
        <v>0.08</v>
      </c>
      <c r="X21" s="71">
        <v>0.08</v>
      </c>
      <c r="Y21" s="71">
        <v>7.0000000000000007E-2</v>
      </c>
      <c r="Z21" s="71">
        <v>7.0000000000000007E-2</v>
      </c>
      <c r="AA21" s="71">
        <v>0.03</v>
      </c>
      <c r="AB21" s="71">
        <v>0.03</v>
      </c>
      <c r="AC21" s="71">
        <v>0.03</v>
      </c>
      <c r="AD21" s="71">
        <v>0.03</v>
      </c>
      <c r="AE21" s="71">
        <v>0.03</v>
      </c>
      <c r="AF21" s="71">
        <v>0.02</v>
      </c>
      <c r="AG21" s="54">
        <f t="shared" si="0"/>
        <v>1.0000000000000002</v>
      </c>
    </row>
    <row r="22" spans="1:33" x14ac:dyDescent="0.25">
      <c r="A22" s="15">
        <v>683</v>
      </c>
      <c r="B22">
        <v>0</v>
      </c>
      <c r="C22">
        <v>0</v>
      </c>
      <c r="D22">
        <v>0</v>
      </c>
      <c r="E22">
        <v>0</v>
      </c>
      <c r="F22">
        <v>0</v>
      </c>
      <c r="G22">
        <v>0</v>
      </c>
      <c r="H22">
        <v>0</v>
      </c>
      <c r="I22" s="71">
        <v>0.01</v>
      </c>
      <c r="J22" s="71">
        <v>0.01</v>
      </c>
      <c r="K22" s="71">
        <v>0.01</v>
      </c>
      <c r="L22" s="71">
        <v>0.01</v>
      </c>
      <c r="M22" s="71">
        <v>0.01</v>
      </c>
      <c r="N22" s="71">
        <v>0.01</v>
      </c>
      <c r="O22" s="71">
        <v>0.02</v>
      </c>
      <c r="P22" s="71">
        <v>0.02</v>
      </c>
      <c r="Q22" s="71">
        <v>0.04</v>
      </c>
      <c r="R22" s="71">
        <v>7.0000000000000007E-2</v>
      </c>
      <c r="S22" s="71">
        <v>0.08</v>
      </c>
      <c r="T22" s="71">
        <v>0.08</v>
      </c>
      <c r="U22" s="71">
        <v>0.08</v>
      </c>
      <c r="V22" s="71">
        <v>0.08</v>
      </c>
      <c r="W22" s="71">
        <v>0.08</v>
      </c>
      <c r="X22" s="71">
        <v>0.08</v>
      </c>
      <c r="Y22" s="71">
        <v>7.0000000000000007E-2</v>
      </c>
      <c r="Z22" s="71">
        <v>7.0000000000000007E-2</v>
      </c>
      <c r="AA22" s="71">
        <v>0.03</v>
      </c>
      <c r="AB22" s="71">
        <v>0.03</v>
      </c>
      <c r="AC22" s="71">
        <v>0.03</v>
      </c>
      <c r="AD22" s="71">
        <v>0.03</v>
      </c>
      <c r="AE22" s="71">
        <v>0.03</v>
      </c>
      <c r="AF22" s="71">
        <v>0.02</v>
      </c>
      <c r="AG22" s="54">
        <f t="shared" si="0"/>
        <v>1.0000000000000002</v>
      </c>
    </row>
    <row r="23" spans="1:33" x14ac:dyDescent="0.25">
      <c r="A23" s="15">
        <v>684</v>
      </c>
      <c r="B23">
        <v>0</v>
      </c>
      <c r="C23">
        <v>0</v>
      </c>
      <c r="D23">
        <v>0</v>
      </c>
      <c r="E23">
        <v>0</v>
      </c>
      <c r="F23">
        <v>0</v>
      </c>
      <c r="G23">
        <v>0</v>
      </c>
      <c r="H23">
        <v>0</v>
      </c>
      <c r="I23" s="71">
        <v>0.01</v>
      </c>
      <c r="J23" s="71">
        <v>0.01</v>
      </c>
      <c r="K23" s="71">
        <v>0.01</v>
      </c>
      <c r="L23" s="71">
        <v>0.01</v>
      </c>
      <c r="M23" s="71">
        <v>0.01</v>
      </c>
      <c r="N23" s="71">
        <v>0.01</v>
      </c>
      <c r="O23" s="71">
        <v>0.02</v>
      </c>
      <c r="P23" s="71">
        <v>0.02</v>
      </c>
      <c r="Q23" s="71">
        <v>0.04</v>
      </c>
      <c r="R23" s="71">
        <v>7.0000000000000007E-2</v>
      </c>
      <c r="S23" s="71">
        <v>0.08</v>
      </c>
      <c r="T23" s="71">
        <v>0.08</v>
      </c>
      <c r="U23" s="71">
        <v>0.08</v>
      </c>
      <c r="V23" s="71">
        <v>0.08</v>
      </c>
      <c r="W23" s="71">
        <v>0.08</v>
      </c>
      <c r="X23" s="71">
        <v>0.08</v>
      </c>
      <c r="Y23" s="71">
        <v>7.0000000000000007E-2</v>
      </c>
      <c r="Z23" s="71">
        <v>7.0000000000000007E-2</v>
      </c>
      <c r="AA23" s="71">
        <v>0.03</v>
      </c>
      <c r="AB23" s="71">
        <v>0.03</v>
      </c>
      <c r="AC23" s="71">
        <v>0.03</v>
      </c>
      <c r="AD23" s="71">
        <v>0.03</v>
      </c>
      <c r="AE23" s="71">
        <v>0.03</v>
      </c>
      <c r="AF23" s="71">
        <v>0.02</v>
      </c>
      <c r="AG23" s="54">
        <f t="shared" si="0"/>
        <v>1.0000000000000002</v>
      </c>
    </row>
    <row r="24" spans="1:33" x14ac:dyDescent="0.25">
      <c r="A24" s="15">
        <v>685</v>
      </c>
      <c r="B24">
        <v>0</v>
      </c>
      <c r="C24">
        <v>0</v>
      </c>
      <c r="D24">
        <v>0</v>
      </c>
      <c r="E24">
        <v>0</v>
      </c>
      <c r="F24">
        <v>0</v>
      </c>
      <c r="G24">
        <v>0</v>
      </c>
      <c r="H24">
        <v>0</v>
      </c>
      <c r="I24" s="71">
        <v>0.01</v>
      </c>
      <c r="J24" s="71">
        <v>0.01</v>
      </c>
      <c r="K24" s="71">
        <v>0.01</v>
      </c>
      <c r="L24" s="71">
        <v>0.01</v>
      </c>
      <c r="M24" s="71">
        <v>0.01</v>
      </c>
      <c r="N24" s="71">
        <v>0.01</v>
      </c>
      <c r="O24" s="71">
        <v>0.02</v>
      </c>
      <c r="P24" s="71">
        <v>0.02</v>
      </c>
      <c r="Q24" s="71">
        <v>0.04</v>
      </c>
      <c r="R24" s="71">
        <v>7.0000000000000007E-2</v>
      </c>
      <c r="S24" s="71">
        <v>0.08</v>
      </c>
      <c r="T24" s="71">
        <v>0.08</v>
      </c>
      <c r="U24" s="71">
        <v>0.08</v>
      </c>
      <c r="V24" s="71">
        <v>0.08</v>
      </c>
      <c r="W24" s="71">
        <v>0.08</v>
      </c>
      <c r="X24" s="71">
        <v>0.08</v>
      </c>
      <c r="Y24" s="71">
        <v>7.0000000000000007E-2</v>
      </c>
      <c r="Z24" s="71">
        <v>7.0000000000000007E-2</v>
      </c>
      <c r="AA24" s="71">
        <v>0.03</v>
      </c>
      <c r="AB24" s="71">
        <v>0.03</v>
      </c>
      <c r="AC24" s="71">
        <v>0.03</v>
      </c>
      <c r="AD24" s="71">
        <v>0.03</v>
      </c>
      <c r="AE24" s="71">
        <v>0.03</v>
      </c>
      <c r="AF24" s="71">
        <v>0.02</v>
      </c>
      <c r="AG24" s="54">
        <f t="shared" si="0"/>
        <v>1.0000000000000002</v>
      </c>
    </row>
    <row r="25" spans="1:33" x14ac:dyDescent="0.25">
      <c r="A25" s="15">
        <v>691</v>
      </c>
      <c r="B25">
        <v>0</v>
      </c>
      <c r="C25">
        <v>0</v>
      </c>
      <c r="D25">
        <v>0</v>
      </c>
      <c r="E25">
        <v>0</v>
      </c>
      <c r="F25">
        <v>0</v>
      </c>
      <c r="G25">
        <v>0</v>
      </c>
      <c r="H25">
        <v>0</v>
      </c>
      <c r="I25" s="71">
        <v>0.01</v>
      </c>
      <c r="J25" s="71">
        <v>0.01</v>
      </c>
      <c r="K25" s="71">
        <v>0.01</v>
      </c>
      <c r="L25" s="71">
        <v>0.01</v>
      </c>
      <c r="M25" s="71">
        <v>0.01</v>
      </c>
      <c r="N25" s="71">
        <v>0.01</v>
      </c>
      <c r="O25" s="71">
        <v>0.02</v>
      </c>
      <c r="P25" s="71">
        <v>0.02</v>
      </c>
      <c r="Q25" s="71">
        <v>0.04</v>
      </c>
      <c r="R25" s="71">
        <v>7.0000000000000007E-2</v>
      </c>
      <c r="S25" s="71">
        <v>0.08</v>
      </c>
      <c r="T25" s="71">
        <v>0.08</v>
      </c>
      <c r="U25" s="71">
        <v>0.08</v>
      </c>
      <c r="V25" s="71">
        <v>0.08</v>
      </c>
      <c r="W25" s="71">
        <v>0.08</v>
      </c>
      <c r="X25" s="71">
        <v>0.08</v>
      </c>
      <c r="Y25" s="71">
        <v>7.0000000000000007E-2</v>
      </c>
      <c r="Z25" s="71">
        <v>7.0000000000000007E-2</v>
      </c>
      <c r="AA25" s="71">
        <v>0.03</v>
      </c>
      <c r="AB25" s="71">
        <v>0.03</v>
      </c>
      <c r="AC25" s="71">
        <v>0.03</v>
      </c>
      <c r="AD25" s="71">
        <v>0.03</v>
      </c>
      <c r="AE25" s="71">
        <v>0.03</v>
      </c>
      <c r="AF25" s="71">
        <v>0.02</v>
      </c>
      <c r="AG25" s="54">
        <f t="shared" si="0"/>
        <v>1.0000000000000002</v>
      </c>
    </row>
    <row r="26" spans="1:33" x14ac:dyDescent="0.25">
      <c r="A26" s="15">
        <v>706</v>
      </c>
      <c r="B26">
        <v>0</v>
      </c>
      <c r="C26">
        <v>0</v>
      </c>
      <c r="D26">
        <v>0</v>
      </c>
      <c r="E26">
        <v>0</v>
      </c>
      <c r="F26">
        <v>0</v>
      </c>
      <c r="G26">
        <v>0</v>
      </c>
      <c r="H26">
        <v>0</v>
      </c>
      <c r="I26" s="71">
        <v>0.01</v>
      </c>
      <c r="J26" s="71">
        <v>0.01</v>
      </c>
      <c r="K26" s="71">
        <v>0.01</v>
      </c>
      <c r="L26" s="71">
        <v>0.01</v>
      </c>
      <c r="M26" s="71">
        <v>0.01</v>
      </c>
      <c r="N26" s="71">
        <v>0.01</v>
      </c>
      <c r="O26" s="71">
        <v>0.02</v>
      </c>
      <c r="P26" s="71">
        <v>0.02</v>
      </c>
      <c r="Q26" s="71">
        <v>0.04</v>
      </c>
      <c r="R26" s="71">
        <v>7.0000000000000007E-2</v>
      </c>
      <c r="S26" s="71">
        <v>0.08</v>
      </c>
      <c r="T26" s="71">
        <v>0.08</v>
      </c>
      <c r="U26" s="71">
        <v>0.08</v>
      </c>
      <c r="V26" s="71">
        <v>0.08</v>
      </c>
      <c r="W26" s="71">
        <v>0.08</v>
      </c>
      <c r="X26" s="71">
        <v>0.08</v>
      </c>
      <c r="Y26" s="71">
        <v>7.0000000000000007E-2</v>
      </c>
      <c r="Z26" s="71">
        <v>7.0000000000000007E-2</v>
      </c>
      <c r="AA26" s="71">
        <v>0.03</v>
      </c>
      <c r="AB26" s="71">
        <v>0.03</v>
      </c>
      <c r="AC26" s="71">
        <v>0.03</v>
      </c>
      <c r="AD26" s="71">
        <v>0.03</v>
      </c>
      <c r="AE26" s="71">
        <v>0.03</v>
      </c>
      <c r="AF26" s="71">
        <v>0.02</v>
      </c>
      <c r="AG26" s="54">
        <f t="shared" si="0"/>
        <v>1.0000000000000002</v>
      </c>
    </row>
    <row r="27" spans="1:33" x14ac:dyDescent="0.25">
      <c r="A27" s="15">
        <v>713</v>
      </c>
      <c r="B27">
        <v>0</v>
      </c>
      <c r="C27">
        <v>0</v>
      </c>
      <c r="D27">
        <v>0</v>
      </c>
      <c r="E27">
        <v>0</v>
      </c>
      <c r="F27">
        <v>0</v>
      </c>
      <c r="G27">
        <v>0</v>
      </c>
      <c r="H27">
        <v>0</v>
      </c>
      <c r="I27" s="71">
        <v>0.01</v>
      </c>
      <c r="J27" s="71">
        <v>0.01</v>
      </c>
      <c r="K27" s="71">
        <v>0.01</v>
      </c>
      <c r="L27" s="71">
        <v>0.01</v>
      </c>
      <c r="M27" s="71">
        <v>0.01</v>
      </c>
      <c r="N27" s="71">
        <v>0.01</v>
      </c>
      <c r="O27" s="71">
        <v>0.02</v>
      </c>
      <c r="P27" s="71">
        <v>0.02</v>
      </c>
      <c r="Q27" s="71">
        <v>0.04</v>
      </c>
      <c r="R27" s="71">
        <v>7.0000000000000007E-2</v>
      </c>
      <c r="S27" s="71">
        <v>0.08</v>
      </c>
      <c r="T27" s="71">
        <v>0.08</v>
      </c>
      <c r="U27" s="71">
        <v>0.08</v>
      </c>
      <c r="V27" s="71">
        <v>0.08</v>
      </c>
      <c r="W27" s="71">
        <v>0.08</v>
      </c>
      <c r="X27" s="71">
        <v>0.08</v>
      </c>
      <c r="Y27" s="71">
        <v>7.0000000000000007E-2</v>
      </c>
      <c r="Z27" s="71">
        <v>7.0000000000000007E-2</v>
      </c>
      <c r="AA27" s="71">
        <v>0.03</v>
      </c>
      <c r="AB27" s="71">
        <v>0.03</v>
      </c>
      <c r="AC27" s="71">
        <v>0.03</v>
      </c>
      <c r="AD27" s="71">
        <v>0.03</v>
      </c>
      <c r="AE27" s="71">
        <v>0.03</v>
      </c>
      <c r="AF27" s="71">
        <v>0.02</v>
      </c>
      <c r="AG27" s="54">
        <f t="shared" si="0"/>
        <v>1.0000000000000002</v>
      </c>
    </row>
    <row r="28" spans="1:33" x14ac:dyDescent="0.25">
      <c r="A28" s="15">
        <v>718</v>
      </c>
      <c r="B28">
        <v>0</v>
      </c>
      <c r="C28">
        <v>0</v>
      </c>
      <c r="D28">
        <v>0</v>
      </c>
      <c r="E28">
        <v>0</v>
      </c>
      <c r="F28">
        <v>0</v>
      </c>
      <c r="G28">
        <v>0</v>
      </c>
      <c r="H28">
        <v>0</v>
      </c>
      <c r="I28" s="71">
        <v>0.01</v>
      </c>
      <c r="J28" s="71">
        <v>0.01</v>
      </c>
      <c r="K28" s="71">
        <v>0.01</v>
      </c>
      <c r="L28" s="71">
        <v>0.01</v>
      </c>
      <c r="M28" s="71">
        <v>0.01</v>
      </c>
      <c r="N28" s="71">
        <v>0.01</v>
      </c>
      <c r="O28" s="71">
        <v>0.02</v>
      </c>
      <c r="P28" s="71">
        <v>0.02</v>
      </c>
      <c r="Q28" s="71">
        <v>0.04</v>
      </c>
      <c r="R28" s="71">
        <v>7.0000000000000007E-2</v>
      </c>
      <c r="S28" s="71">
        <v>0.08</v>
      </c>
      <c r="T28" s="71">
        <v>0.08</v>
      </c>
      <c r="U28" s="71">
        <v>0.08</v>
      </c>
      <c r="V28" s="71">
        <v>0.08</v>
      </c>
      <c r="W28" s="71">
        <v>0.08</v>
      </c>
      <c r="X28" s="71">
        <v>0.08</v>
      </c>
      <c r="Y28" s="71">
        <v>7.0000000000000007E-2</v>
      </c>
      <c r="Z28" s="71">
        <v>7.0000000000000007E-2</v>
      </c>
      <c r="AA28" s="71">
        <v>0.03</v>
      </c>
      <c r="AB28" s="71">
        <v>0.03</v>
      </c>
      <c r="AC28" s="71">
        <v>0.03</v>
      </c>
      <c r="AD28" s="71">
        <v>0.03</v>
      </c>
      <c r="AE28" s="71">
        <v>0.03</v>
      </c>
      <c r="AF28" s="71">
        <v>0.02</v>
      </c>
      <c r="AG28" s="54">
        <f t="shared" si="0"/>
        <v>1.0000000000000002</v>
      </c>
    </row>
    <row r="29" spans="1:33" x14ac:dyDescent="0.25">
      <c r="A29" s="15">
        <v>731</v>
      </c>
      <c r="B29">
        <v>0</v>
      </c>
      <c r="C29">
        <v>0</v>
      </c>
      <c r="D29">
        <v>0</v>
      </c>
      <c r="E29">
        <v>0</v>
      </c>
      <c r="F29">
        <v>0</v>
      </c>
      <c r="G29">
        <v>0</v>
      </c>
      <c r="H29">
        <v>0</v>
      </c>
      <c r="I29" s="71">
        <v>0.01</v>
      </c>
      <c r="J29" s="71">
        <v>0.01</v>
      </c>
      <c r="K29" s="71">
        <v>0.01</v>
      </c>
      <c r="L29" s="71">
        <v>0.01</v>
      </c>
      <c r="M29" s="71">
        <v>0.01</v>
      </c>
      <c r="N29" s="71">
        <v>0.01</v>
      </c>
      <c r="O29" s="71">
        <v>0.02</v>
      </c>
      <c r="P29" s="71">
        <v>0.02</v>
      </c>
      <c r="Q29" s="71">
        <v>0.04</v>
      </c>
      <c r="R29" s="71">
        <v>7.0000000000000007E-2</v>
      </c>
      <c r="S29" s="71">
        <v>0.08</v>
      </c>
      <c r="T29" s="71">
        <v>0.08</v>
      </c>
      <c r="U29" s="71">
        <v>0.08</v>
      </c>
      <c r="V29" s="71">
        <v>0.08</v>
      </c>
      <c r="W29" s="71">
        <v>0.08</v>
      </c>
      <c r="X29" s="71">
        <v>0.08</v>
      </c>
      <c r="Y29" s="71">
        <v>7.0000000000000007E-2</v>
      </c>
      <c r="Z29" s="71">
        <v>7.0000000000000007E-2</v>
      </c>
      <c r="AA29" s="71">
        <v>0.03</v>
      </c>
      <c r="AB29" s="71">
        <v>0.03</v>
      </c>
      <c r="AC29" s="71">
        <v>0.03</v>
      </c>
      <c r="AD29" s="71">
        <v>0.03</v>
      </c>
      <c r="AE29" s="71">
        <v>0.03</v>
      </c>
      <c r="AF29" s="71">
        <v>0.02</v>
      </c>
      <c r="AG29" s="54">
        <f t="shared" si="0"/>
        <v>1.0000000000000002</v>
      </c>
    </row>
    <row r="30" spans="1:33" x14ac:dyDescent="0.25">
      <c r="A30" s="15">
        <v>743</v>
      </c>
      <c r="B30">
        <v>0</v>
      </c>
      <c r="C30">
        <v>0</v>
      </c>
      <c r="D30">
        <v>0</v>
      </c>
      <c r="E30">
        <v>0</v>
      </c>
      <c r="F30">
        <v>0</v>
      </c>
      <c r="G30">
        <v>0</v>
      </c>
      <c r="H30">
        <v>0</v>
      </c>
      <c r="I30" s="71">
        <v>0.01</v>
      </c>
      <c r="J30" s="71">
        <v>0.01</v>
      </c>
      <c r="K30" s="71">
        <v>0.01</v>
      </c>
      <c r="L30" s="71">
        <v>0.01</v>
      </c>
      <c r="M30" s="71">
        <v>0.01</v>
      </c>
      <c r="N30" s="71">
        <v>0.01</v>
      </c>
      <c r="O30" s="71">
        <v>0.02</v>
      </c>
      <c r="P30" s="71">
        <v>0.02</v>
      </c>
      <c r="Q30" s="71">
        <v>0.04</v>
      </c>
      <c r="R30" s="71">
        <v>7.0000000000000007E-2</v>
      </c>
      <c r="S30" s="71">
        <v>0.08</v>
      </c>
      <c r="T30" s="71">
        <v>0.08</v>
      </c>
      <c r="U30" s="71">
        <v>0.08</v>
      </c>
      <c r="V30" s="71">
        <v>0.08</v>
      </c>
      <c r="W30" s="71">
        <v>0.08</v>
      </c>
      <c r="X30" s="71">
        <v>0.08</v>
      </c>
      <c r="Y30" s="71">
        <v>7.0000000000000007E-2</v>
      </c>
      <c r="Z30" s="71">
        <v>7.0000000000000007E-2</v>
      </c>
      <c r="AA30" s="71">
        <v>0.03</v>
      </c>
      <c r="AB30" s="71">
        <v>0.03</v>
      </c>
      <c r="AC30" s="71">
        <v>0.03</v>
      </c>
      <c r="AD30" s="71">
        <v>0.03</v>
      </c>
      <c r="AE30" s="71">
        <v>0.03</v>
      </c>
      <c r="AF30" s="71">
        <v>0.02</v>
      </c>
      <c r="AG30" s="54">
        <f t="shared" si="0"/>
        <v>1.0000000000000002</v>
      </c>
    </row>
    <row r="31" spans="1:33" x14ac:dyDescent="0.25">
      <c r="A31" s="15">
        <v>760</v>
      </c>
      <c r="B31">
        <v>0</v>
      </c>
      <c r="C31">
        <v>0</v>
      </c>
      <c r="D31">
        <v>0</v>
      </c>
      <c r="E31">
        <v>0</v>
      </c>
      <c r="F31">
        <v>0</v>
      </c>
      <c r="G31">
        <v>0</v>
      </c>
      <c r="H31">
        <v>0</v>
      </c>
      <c r="I31" s="71">
        <v>0.01</v>
      </c>
      <c r="J31" s="71">
        <v>0.01</v>
      </c>
      <c r="K31" s="71">
        <v>0.01</v>
      </c>
      <c r="L31" s="71">
        <v>0.01</v>
      </c>
      <c r="M31" s="71">
        <v>0.01</v>
      </c>
      <c r="N31" s="71">
        <v>0.01</v>
      </c>
      <c r="O31" s="71">
        <v>0.02</v>
      </c>
      <c r="P31" s="71">
        <v>0.02</v>
      </c>
      <c r="Q31" s="71">
        <v>0.04</v>
      </c>
      <c r="R31" s="71">
        <v>7.0000000000000007E-2</v>
      </c>
      <c r="S31" s="71">
        <v>0.08</v>
      </c>
      <c r="T31" s="71">
        <v>0.08</v>
      </c>
      <c r="U31" s="71">
        <v>0.08</v>
      </c>
      <c r="V31" s="71">
        <v>0.08</v>
      </c>
      <c r="W31" s="71">
        <v>0.08</v>
      </c>
      <c r="X31" s="71">
        <v>0.08</v>
      </c>
      <c r="Y31" s="71">
        <v>7.0000000000000007E-2</v>
      </c>
      <c r="Z31" s="71">
        <v>7.0000000000000007E-2</v>
      </c>
      <c r="AA31" s="71">
        <v>0.03</v>
      </c>
      <c r="AB31" s="71">
        <v>0.03</v>
      </c>
      <c r="AC31" s="71">
        <v>0.03</v>
      </c>
      <c r="AD31" s="71">
        <v>0.03</v>
      </c>
      <c r="AE31" s="71">
        <v>0.03</v>
      </c>
      <c r="AF31" s="71">
        <v>0.02</v>
      </c>
      <c r="AG31" s="54">
        <f t="shared" si="0"/>
        <v>1.0000000000000002</v>
      </c>
    </row>
    <row r="32" spans="1:33" x14ac:dyDescent="0.25">
      <c r="A32" s="15">
        <v>765</v>
      </c>
      <c r="B32">
        <v>0</v>
      </c>
      <c r="C32">
        <v>0</v>
      </c>
      <c r="D32">
        <v>0</v>
      </c>
      <c r="E32">
        <v>0</v>
      </c>
      <c r="F32">
        <v>0</v>
      </c>
      <c r="G32">
        <v>0</v>
      </c>
      <c r="H32">
        <v>0</v>
      </c>
      <c r="I32" s="71">
        <v>0.01</v>
      </c>
      <c r="J32" s="71">
        <v>0.01</v>
      </c>
      <c r="K32" s="71">
        <v>0.01</v>
      </c>
      <c r="L32" s="71">
        <v>0.01</v>
      </c>
      <c r="M32" s="71">
        <v>0.01</v>
      </c>
      <c r="N32" s="71">
        <v>0.01</v>
      </c>
      <c r="O32" s="71">
        <v>0.02</v>
      </c>
      <c r="P32" s="71">
        <v>0.02</v>
      </c>
      <c r="Q32" s="71">
        <v>0.04</v>
      </c>
      <c r="R32" s="71">
        <v>7.0000000000000007E-2</v>
      </c>
      <c r="S32" s="71">
        <v>0.08</v>
      </c>
      <c r="T32" s="71">
        <v>0.08</v>
      </c>
      <c r="U32" s="71">
        <v>0.08</v>
      </c>
      <c r="V32" s="71">
        <v>0.08</v>
      </c>
      <c r="W32" s="71">
        <v>0.08</v>
      </c>
      <c r="X32" s="71">
        <v>0.08</v>
      </c>
      <c r="Y32" s="71">
        <v>7.0000000000000007E-2</v>
      </c>
      <c r="Z32" s="71">
        <v>7.0000000000000007E-2</v>
      </c>
      <c r="AA32" s="71">
        <v>0.03</v>
      </c>
      <c r="AB32" s="71">
        <v>0.03</v>
      </c>
      <c r="AC32" s="71">
        <v>0.03</v>
      </c>
      <c r="AD32" s="71">
        <v>0.03</v>
      </c>
      <c r="AE32" s="71">
        <v>0.03</v>
      </c>
      <c r="AF32" s="71">
        <v>0.02</v>
      </c>
      <c r="AG32" s="54">
        <f t="shared" si="0"/>
        <v>1.0000000000000002</v>
      </c>
    </row>
    <row r="33" spans="1:33" x14ac:dyDescent="0.25">
      <c r="A33" s="15">
        <v>766</v>
      </c>
      <c r="B33">
        <v>0</v>
      </c>
      <c r="C33">
        <v>0</v>
      </c>
      <c r="D33">
        <v>0</v>
      </c>
      <c r="E33">
        <v>0</v>
      </c>
      <c r="F33">
        <v>0</v>
      </c>
      <c r="G33">
        <v>0</v>
      </c>
      <c r="H33">
        <v>0</v>
      </c>
      <c r="I33" s="71">
        <v>0.01</v>
      </c>
      <c r="J33" s="71">
        <v>0.01</v>
      </c>
      <c r="K33" s="71">
        <v>0.01</v>
      </c>
      <c r="L33" s="71">
        <v>0.01</v>
      </c>
      <c r="M33" s="71">
        <v>0.01</v>
      </c>
      <c r="N33" s="71">
        <v>0.01</v>
      </c>
      <c r="O33" s="71">
        <v>0.02</v>
      </c>
      <c r="P33" s="71">
        <v>0.02</v>
      </c>
      <c r="Q33" s="71">
        <v>0.04</v>
      </c>
      <c r="R33" s="71">
        <v>7.0000000000000007E-2</v>
      </c>
      <c r="S33" s="71">
        <v>0.08</v>
      </c>
      <c r="T33" s="71">
        <v>0.08</v>
      </c>
      <c r="U33" s="71">
        <v>0.08</v>
      </c>
      <c r="V33" s="71">
        <v>0.08</v>
      </c>
      <c r="W33" s="71">
        <v>0.08</v>
      </c>
      <c r="X33" s="71">
        <v>0.08</v>
      </c>
      <c r="Y33" s="71">
        <v>7.0000000000000007E-2</v>
      </c>
      <c r="Z33" s="71">
        <v>7.0000000000000007E-2</v>
      </c>
      <c r="AA33" s="71">
        <v>0.03</v>
      </c>
      <c r="AB33" s="71">
        <v>0.03</v>
      </c>
      <c r="AC33" s="71">
        <v>0.03</v>
      </c>
      <c r="AD33" s="71">
        <v>0.03</v>
      </c>
      <c r="AE33" s="71">
        <v>0.03</v>
      </c>
      <c r="AF33" s="71">
        <v>0.02</v>
      </c>
      <c r="AG33" s="54">
        <f t="shared" si="0"/>
        <v>1.0000000000000002</v>
      </c>
    </row>
    <row r="34" spans="1:33" x14ac:dyDescent="0.25">
      <c r="A34" s="15">
        <v>767</v>
      </c>
      <c r="B34">
        <v>0</v>
      </c>
      <c r="C34">
        <v>0</v>
      </c>
      <c r="D34">
        <v>0</v>
      </c>
      <c r="E34">
        <v>0</v>
      </c>
      <c r="F34">
        <v>0</v>
      </c>
      <c r="G34">
        <v>0</v>
      </c>
      <c r="H34">
        <v>0</v>
      </c>
      <c r="I34" s="71">
        <v>0.01</v>
      </c>
      <c r="J34" s="71">
        <v>0.01</v>
      </c>
      <c r="K34" s="71">
        <v>0.01</v>
      </c>
      <c r="L34" s="71">
        <v>0.01</v>
      </c>
      <c r="M34" s="71">
        <v>0.01</v>
      </c>
      <c r="N34" s="71">
        <v>0.01</v>
      </c>
      <c r="O34" s="71">
        <v>0.02</v>
      </c>
      <c r="P34" s="71">
        <v>0.02</v>
      </c>
      <c r="Q34" s="71">
        <v>0.04</v>
      </c>
      <c r="R34" s="71">
        <v>7.0000000000000007E-2</v>
      </c>
      <c r="S34" s="71">
        <v>0.08</v>
      </c>
      <c r="T34" s="71">
        <v>0.08</v>
      </c>
      <c r="U34" s="71">
        <v>0.08</v>
      </c>
      <c r="V34" s="71">
        <v>0.08</v>
      </c>
      <c r="W34" s="71">
        <v>0.08</v>
      </c>
      <c r="X34" s="71">
        <v>0.08</v>
      </c>
      <c r="Y34" s="71">
        <v>7.0000000000000007E-2</v>
      </c>
      <c r="Z34" s="71">
        <v>7.0000000000000007E-2</v>
      </c>
      <c r="AA34" s="71">
        <v>0.03</v>
      </c>
      <c r="AB34" s="71">
        <v>0.03</v>
      </c>
      <c r="AC34" s="71">
        <v>0.03</v>
      </c>
      <c r="AD34" s="71">
        <v>0.03</v>
      </c>
      <c r="AE34" s="71">
        <v>0.03</v>
      </c>
      <c r="AF34" s="71">
        <v>0.02</v>
      </c>
      <c r="AG34" s="54">
        <f t="shared" si="0"/>
        <v>1.0000000000000002</v>
      </c>
    </row>
    <row r="35" spans="1:33" x14ac:dyDescent="0.25">
      <c r="A35" s="15">
        <v>795</v>
      </c>
      <c r="B35">
        <v>0</v>
      </c>
      <c r="C35">
        <v>0</v>
      </c>
      <c r="D35">
        <v>0</v>
      </c>
      <c r="E35">
        <v>0</v>
      </c>
      <c r="F35">
        <v>0</v>
      </c>
      <c r="G35">
        <v>0</v>
      </c>
      <c r="H35">
        <v>0</v>
      </c>
      <c r="I35" s="71">
        <v>0.01</v>
      </c>
      <c r="J35" s="71">
        <v>0.01</v>
      </c>
      <c r="K35" s="71">
        <v>0.01</v>
      </c>
      <c r="L35" s="71">
        <v>0.01</v>
      </c>
      <c r="M35" s="71">
        <v>0.01</v>
      </c>
      <c r="N35" s="71">
        <v>0.01</v>
      </c>
      <c r="O35" s="71">
        <v>0.02</v>
      </c>
      <c r="P35" s="71">
        <v>0.02</v>
      </c>
      <c r="Q35" s="71">
        <v>0.04</v>
      </c>
      <c r="R35" s="71">
        <v>7.0000000000000007E-2</v>
      </c>
      <c r="S35" s="71">
        <v>0.08</v>
      </c>
      <c r="T35" s="71">
        <v>0.08</v>
      </c>
      <c r="U35" s="71">
        <v>0.08</v>
      </c>
      <c r="V35" s="71">
        <v>0.08</v>
      </c>
      <c r="W35" s="71">
        <v>0.08</v>
      </c>
      <c r="X35" s="71">
        <v>0.08</v>
      </c>
      <c r="Y35" s="71">
        <v>7.0000000000000007E-2</v>
      </c>
      <c r="Z35" s="71">
        <v>7.0000000000000007E-2</v>
      </c>
      <c r="AA35" s="71">
        <v>0.03</v>
      </c>
      <c r="AB35" s="71">
        <v>0.03</v>
      </c>
      <c r="AC35" s="71">
        <v>0.03</v>
      </c>
      <c r="AD35" s="71">
        <v>0.03</v>
      </c>
      <c r="AE35" s="71">
        <v>0.03</v>
      </c>
      <c r="AF35" s="71">
        <v>0.02</v>
      </c>
      <c r="AG35" s="54">
        <f t="shared" si="0"/>
        <v>1.0000000000000002</v>
      </c>
    </row>
    <row r="36" spans="1:33" x14ac:dyDescent="0.25">
      <c r="A36" s="15">
        <v>798</v>
      </c>
      <c r="B36">
        <v>0</v>
      </c>
      <c r="C36">
        <v>0</v>
      </c>
      <c r="D36">
        <v>0</v>
      </c>
      <c r="E36">
        <v>0</v>
      </c>
      <c r="F36">
        <v>0</v>
      </c>
      <c r="G36">
        <v>0</v>
      </c>
      <c r="H36">
        <v>0</v>
      </c>
      <c r="I36" s="71">
        <v>0.01</v>
      </c>
      <c r="J36" s="71">
        <v>0.01</v>
      </c>
      <c r="K36" s="71">
        <v>0.01</v>
      </c>
      <c r="L36" s="71">
        <v>0.01</v>
      </c>
      <c r="M36" s="71">
        <v>0.01</v>
      </c>
      <c r="N36" s="71">
        <v>0.01</v>
      </c>
      <c r="O36" s="71">
        <v>0.02</v>
      </c>
      <c r="P36" s="71">
        <v>0.02</v>
      </c>
      <c r="Q36" s="71">
        <v>0.04</v>
      </c>
      <c r="R36" s="71">
        <v>7.0000000000000007E-2</v>
      </c>
      <c r="S36" s="71">
        <v>0.08</v>
      </c>
      <c r="T36" s="71">
        <v>0.08</v>
      </c>
      <c r="U36" s="71">
        <v>0.08</v>
      </c>
      <c r="V36" s="71">
        <v>0.08</v>
      </c>
      <c r="W36" s="71">
        <v>0.08</v>
      </c>
      <c r="X36" s="71">
        <v>0.08</v>
      </c>
      <c r="Y36" s="71">
        <v>7.0000000000000007E-2</v>
      </c>
      <c r="Z36" s="71">
        <v>7.0000000000000007E-2</v>
      </c>
      <c r="AA36" s="71">
        <v>0.03</v>
      </c>
      <c r="AB36" s="71">
        <v>0.03</v>
      </c>
      <c r="AC36" s="71">
        <v>0.03</v>
      </c>
      <c r="AD36" s="71">
        <v>0.03</v>
      </c>
      <c r="AE36" s="71">
        <v>0.03</v>
      </c>
      <c r="AF36" s="71">
        <v>0.02</v>
      </c>
      <c r="AG36" s="54">
        <f t="shared" si="0"/>
        <v>1.0000000000000002</v>
      </c>
    </row>
    <row r="37" spans="1:33" x14ac:dyDescent="0.25">
      <c r="A37" s="15">
        <v>799</v>
      </c>
      <c r="B37">
        <v>0</v>
      </c>
      <c r="C37">
        <v>0</v>
      </c>
      <c r="D37">
        <v>0</v>
      </c>
      <c r="E37">
        <v>0</v>
      </c>
      <c r="F37">
        <v>0</v>
      </c>
      <c r="G37">
        <v>0</v>
      </c>
      <c r="H37">
        <v>0</v>
      </c>
      <c r="I37" s="71">
        <v>0.01</v>
      </c>
      <c r="J37" s="71">
        <v>0.01</v>
      </c>
      <c r="K37" s="71">
        <v>0.01</v>
      </c>
      <c r="L37" s="71">
        <v>0.01</v>
      </c>
      <c r="M37" s="71">
        <v>0.01</v>
      </c>
      <c r="N37" s="71">
        <v>0.01</v>
      </c>
      <c r="O37" s="71">
        <v>0.02</v>
      </c>
      <c r="P37" s="71">
        <v>0.02</v>
      </c>
      <c r="Q37" s="71">
        <v>0.04</v>
      </c>
      <c r="R37" s="71">
        <v>7.0000000000000007E-2</v>
      </c>
      <c r="S37" s="71">
        <v>0.08</v>
      </c>
      <c r="T37" s="71">
        <v>0.08</v>
      </c>
      <c r="U37" s="71">
        <v>0.08</v>
      </c>
      <c r="V37" s="71">
        <v>0.08</v>
      </c>
      <c r="W37" s="71">
        <v>0.08</v>
      </c>
      <c r="X37" s="71">
        <v>0.08</v>
      </c>
      <c r="Y37" s="71">
        <v>7.0000000000000007E-2</v>
      </c>
      <c r="Z37" s="71">
        <v>7.0000000000000007E-2</v>
      </c>
      <c r="AA37" s="71">
        <v>0.03</v>
      </c>
      <c r="AB37" s="71">
        <v>0.03</v>
      </c>
      <c r="AC37" s="71">
        <v>0.03</v>
      </c>
      <c r="AD37" s="71">
        <v>0.03</v>
      </c>
      <c r="AE37" s="71">
        <v>0.03</v>
      </c>
      <c r="AF37" s="71">
        <v>0.02</v>
      </c>
      <c r="AG37" s="54">
        <f t="shared" si="0"/>
        <v>1.0000000000000002</v>
      </c>
    </row>
    <row r="38" spans="1:33" x14ac:dyDescent="0.25">
      <c r="A38" s="15">
        <v>811</v>
      </c>
      <c r="B38">
        <v>0</v>
      </c>
      <c r="C38">
        <v>0</v>
      </c>
      <c r="D38">
        <v>0</v>
      </c>
      <c r="E38">
        <v>0</v>
      </c>
      <c r="F38">
        <v>0</v>
      </c>
      <c r="G38">
        <v>0</v>
      </c>
      <c r="H38">
        <v>0</v>
      </c>
      <c r="I38" s="71">
        <v>0.01</v>
      </c>
      <c r="J38" s="71">
        <v>0.01</v>
      </c>
      <c r="K38" s="71">
        <v>0.01</v>
      </c>
      <c r="L38" s="71">
        <v>0.01</v>
      </c>
      <c r="M38" s="71">
        <v>0.01</v>
      </c>
      <c r="N38" s="71">
        <v>0.01</v>
      </c>
      <c r="O38" s="71">
        <v>0.02</v>
      </c>
      <c r="P38" s="71">
        <v>0.02</v>
      </c>
      <c r="Q38" s="71">
        <v>0.04</v>
      </c>
      <c r="R38" s="71">
        <v>7.0000000000000007E-2</v>
      </c>
      <c r="S38" s="71">
        <v>0.08</v>
      </c>
      <c r="T38" s="71">
        <v>0.08</v>
      </c>
      <c r="U38" s="71">
        <v>0.08</v>
      </c>
      <c r="V38" s="71">
        <v>0.08</v>
      </c>
      <c r="W38" s="71">
        <v>0.08</v>
      </c>
      <c r="X38" s="71">
        <v>0.08</v>
      </c>
      <c r="Y38" s="71">
        <v>7.0000000000000007E-2</v>
      </c>
      <c r="Z38" s="71">
        <v>7.0000000000000007E-2</v>
      </c>
      <c r="AA38" s="71">
        <v>0.03</v>
      </c>
      <c r="AB38" s="71">
        <v>0.03</v>
      </c>
      <c r="AC38" s="71">
        <v>0.03</v>
      </c>
      <c r="AD38" s="71">
        <v>0.03</v>
      </c>
      <c r="AE38" s="71">
        <v>0.03</v>
      </c>
      <c r="AF38" s="71">
        <v>0.02</v>
      </c>
      <c r="AG38" s="54">
        <f t="shared" si="0"/>
        <v>1.0000000000000002</v>
      </c>
    </row>
    <row r="39" spans="1:33" x14ac:dyDescent="0.25">
      <c r="A39" s="15">
        <v>820</v>
      </c>
      <c r="B39">
        <v>0</v>
      </c>
      <c r="C39">
        <v>0</v>
      </c>
      <c r="D39">
        <v>0</v>
      </c>
      <c r="E39">
        <v>0</v>
      </c>
      <c r="F39">
        <v>0</v>
      </c>
      <c r="G39">
        <v>0</v>
      </c>
      <c r="H39">
        <v>0</v>
      </c>
      <c r="I39" s="71">
        <v>0.01</v>
      </c>
      <c r="J39" s="71">
        <v>0.01</v>
      </c>
      <c r="K39" s="71">
        <v>0.01</v>
      </c>
      <c r="L39" s="71">
        <v>0.01</v>
      </c>
      <c r="M39" s="71">
        <v>0.01</v>
      </c>
      <c r="N39" s="71">
        <v>0.01</v>
      </c>
      <c r="O39" s="71">
        <v>0.02</v>
      </c>
      <c r="P39" s="71">
        <v>0.02</v>
      </c>
      <c r="Q39" s="71">
        <v>0.04</v>
      </c>
      <c r="R39" s="71">
        <v>7.0000000000000007E-2</v>
      </c>
      <c r="S39" s="71">
        <v>0.08</v>
      </c>
      <c r="T39" s="71">
        <v>0.08</v>
      </c>
      <c r="U39" s="71">
        <v>0.08</v>
      </c>
      <c r="V39" s="71">
        <v>0.08</v>
      </c>
      <c r="W39" s="71">
        <v>0.08</v>
      </c>
      <c r="X39" s="71">
        <v>0.08</v>
      </c>
      <c r="Y39" s="71">
        <v>7.0000000000000007E-2</v>
      </c>
      <c r="Z39" s="71">
        <v>7.0000000000000007E-2</v>
      </c>
      <c r="AA39" s="71">
        <v>0.03</v>
      </c>
      <c r="AB39" s="71">
        <v>0.03</v>
      </c>
      <c r="AC39" s="71">
        <v>0.03</v>
      </c>
      <c r="AD39" s="71">
        <v>0.03</v>
      </c>
      <c r="AE39" s="71">
        <v>0.03</v>
      </c>
      <c r="AF39" s="71">
        <v>0.02</v>
      </c>
      <c r="AG39" s="54">
        <f t="shared" si="0"/>
        <v>1.0000000000000002</v>
      </c>
    </row>
    <row r="40" spans="1:33" x14ac:dyDescent="0.25">
      <c r="A40" s="15">
        <v>830</v>
      </c>
      <c r="B40">
        <v>0</v>
      </c>
      <c r="C40">
        <v>0</v>
      </c>
      <c r="D40">
        <v>0</v>
      </c>
      <c r="E40">
        <v>0</v>
      </c>
      <c r="F40">
        <v>0</v>
      </c>
      <c r="G40">
        <v>0</v>
      </c>
      <c r="H40">
        <v>0</v>
      </c>
      <c r="I40" s="71">
        <v>0.01</v>
      </c>
      <c r="J40" s="71">
        <v>0.01</v>
      </c>
      <c r="K40" s="71">
        <v>0.01</v>
      </c>
      <c r="L40" s="71">
        <v>0.01</v>
      </c>
      <c r="M40" s="71">
        <v>0.01</v>
      </c>
      <c r="N40" s="71">
        <v>0.01</v>
      </c>
      <c r="O40" s="71">
        <v>0.02</v>
      </c>
      <c r="P40" s="71">
        <v>0.02</v>
      </c>
      <c r="Q40" s="71">
        <v>0.04</v>
      </c>
      <c r="R40" s="71">
        <v>7.0000000000000007E-2</v>
      </c>
      <c r="S40" s="71">
        <v>0.08</v>
      </c>
      <c r="T40" s="71">
        <v>0.08</v>
      </c>
      <c r="U40" s="71">
        <v>0.08</v>
      </c>
      <c r="V40" s="71">
        <v>0.08</v>
      </c>
      <c r="W40" s="71">
        <v>0.08</v>
      </c>
      <c r="X40" s="71">
        <v>0.08</v>
      </c>
      <c r="Y40" s="71">
        <v>7.0000000000000007E-2</v>
      </c>
      <c r="Z40" s="71">
        <v>7.0000000000000007E-2</v>
      </c>
      <c r="AA40" s="71">
        <v>0.03</v>
      </c>
      <c r="AB40" s="71">
        <v>0.03</v>
      </c>
      <c r="AC40" s="71">
        <v>0.03</v>
      </c>
      <c r="AD40" s="71">
        <v>0.03</v>
      </c>
      <c r="AE40" s="71">
        <v>0.03</v>
      </c>
      <c r="AF40" s="71">
        <v>0.02</v>
      </c>
      <c r="AG40" s="54">
        <f t="shared" si="0"/>
        <v>1.0000000000000002</v>
      </c>
    </row>
    <row r="41" spans="1:33" x14ac:dyDescent="0.25">
      <c r="A41" s="15">
        <v>831</v>
      </c>
      <c r="B41">
        <v>0</v>
      </c>
      <c r="C41">
        <v>0</v>
      </c>
      <c r="D41">
        <v>0</v>
      </c>
      <c r="E41">
        <v>0</v>
      </c>
      <c r="F41">
        <v>0</v>
      </c>
      <c r="G41">
        <v>0</v>
      </c>
      <c r="H41">
        <v>0</v>
      </c>
      <c r="I41" s="71">
        <v>0.01</v>
      </c>
      <c r="J41" s="71">
        <v>0.01</v>
      </c>
      <c r="K41" s="71">
        <v>0.01</v>
      </c>
      <c r="L41" s="71">
        <v>0.01</v>
      </c>
      <c r="M41" s="71">
        <v>0.01</v>
      </c>
      <c r="N41" s="71">
        <v>0.01</v>
      </c>
      <c r="O41" s="71">
        <v>0.02</v>
      </c>
      <c r="P41" s="71">
        <v>0.02</v>
      </c>
      <c r="Q41" s="71">
        <v>0.04</v>
      </c>
      <c r="R41" s="71">
        <v>7.0000000000000007E-2</v>
      </c>
      <c r="S41" s="71">
        <v>0.08</v>
      </c>
      <c r="T41" s="71">
        <v>0.08</v>
      </c>
      <c r="U41" s="71">
        <v>0.08</v>
      </c>
      <c r="V41" s="71">
        <v>0.08</v>
      </c>
      <c r="W41" s="71">
        <v>0.08</v>
      </c>
      <c r="X41" s="71">
        <v>0.08</v>
      </c>
      <c r="Y41" s="71">
        <v>7.0000000000000007E-2</v>
      </c>
      <c r="Z41" s="71">
        <v>7.0000000000000007E-2</v>
      </c>
      <c r="AA41" s="71">
        <v>0.03</v>
      </c>
      <c r="AB41" s="71">
        <v>0.03</v>
      </c>
      <c r="AC41" s="71">
        <v>0.03</v>
      </c>
      <c r="AD41" s="71">
        <v>0.03</v>
      </c>
      <c r="AE41" s="71">
        <v>0.03</v>
      </c>
      <c r="AF41" s="71">
        <v>0.02</v>
      </c>
      <c r="AG41" s="54">
        <f t="shared" si="0"/>
        <v>1.0000000000000002</v>
      </c>
    </row>
    <row r="42" spans="1:33" x14ac:dyDescent="0.25">
      <c r="A42" s="15">
        <v>832</v>
      </c>
      <c r="B42">
        <v>0</v>
      </c>
      <c r="C42">
        <v>0</v>
      </c>
      <c r="D42">
        <v>0</v>
      </c>
      <c r="E42">
        <v>0</v>
      </c>
      <c r="F42">
        <v>0</v>
      </c>
      <c r="G42">
        <v>0</v>
      </c>
      <c r="H42">
        <v>0</v>
      </c>
      <c r="I42" s="71">
        <v>0.01</v>
      </c>
      <c r="J42" s="71">
        <v>0.01</v>
      </c>
      <c r="K42" s="71">
        <v>0.01</v>
      </c>
      <c r="L42" s="71">
        <v>0.01</v>
      </c>
      <c r="M42" s="71">
        <v>0.01</v>
      </c>
      <c r="N42" s="71">
        <v>0.01</v>
      </c>
      <c r="O42" s="71">
        <v>0.02</v>
      </c>
      <c r="P42" s="71">
        <v>0.02</v>
      </c>
      <c r="Q42" s="71">
        <v>0.04</v>
      </c>
      <c r="R42" s="71">
        <v>7.0000000000000007E-2</v>
      </c>
      <c r="S42" s="71">
        <v>0.08</v>
      </c>
      <c r="T42" s="71">
        <v>0.08</v>
      </c>
      <c r="U42" s="71">
        <v>0.08</v>
      </c>
      <c r="V42" s="71">
        <v>0.08</v>
      </c>
      <c r="W42" s="71">
        <v>0.08</v>
      </c>
      <c r="X42" s="71">
        <v>0.08</v>
      </c>
      <c r="Y42" s="71">
        <v>7.0000000000000007E-2</v>
      </c>
      <c r="Z42" s="71">
        <v>7.0000000000000007E-2</v>
      </c>
      <c r="AA42" s="71">
        <v>0.03</v>
      </c>
      <c r="AB42" s="71">
        <v>0.03</v>
      </c>
      <c r="AC42" s="71">
        <v>0.03</v>
      </c>
      <c r="AD42" s="71">
        <v>0.03</v>
      </c>
      <c r="AE42" s="71">
        <v>0.03</v>
      </c>
      <c r="AF42" s="71">
        <v>0.02</v>
      </c>
      <c r="AG42" s="54">
        <f t="shared" si="0"/>
        <v>1.0000000000000002</v>
      </c>
    </row>
    <row r="43" spans="1:33" x14ac:dyDescent="0.25">
      <c r="A43" s="15">
        <v>833</v>
      </c>
      <c r="B43">
        <v>0</v>
      </c>
      <c r="C43">
        <v>0</v>
      </c>
      <c r="D43">
        <v>0</v>
      </c>
      <c r="E43">
        <v>0</v>
      </c>
      <c r="F43">
        <v>0</v>
      </c>
      <c r="G43">
        <v>0</v>
      </c>
      <c r="H43">
        <v>0</v>
      </c>
      <c r="I43" s="71">
        <v>0.01</v>
      </c>
      <c r="J43" s="71">
        <v>0.01</v>
      </c>
      <c r="K43" s="71">
        <v>0.01</v>
      </c>
      <c r="L43" s="71">
        <v>0.01</v>
      </c>
      <c r="M43" s="71">
        <v>0.01</v>
      </c>
      <c r="N43" s="71">
        <v>0.01</v>
      </c>
      <c r="O43" s="71">
        <v>0.02</v>
      </c>
      <c r="P43" s="71">
        <v>0.02</v>
      </c>
      <c r="Q43" s="71">
        <v>0.04</v>
      </c>
      <c r="R43" s="71">
        <v>7.0000000000000007E-2</v>
      </c>
      <c r="S43" s="71">
        <v>0.08</v>
      </c>
      <c r="T43" s="71">
        <v>0.08</v>
      </c>
      <c r="U43" s="71">
        <v>0.08</v>
      </c>
      <c r="V43" s="71">
        <v>0.08</v>
      </c>
      <c r="W43" s="71">
        <v>0.08</v>
      </c>
      <c r="X43" s="71">
        <v>0.08</v>
      </c>
      <c r="Y43" s="71">
        <v>7.0000000000000007E-2</v>
      </c>
      <c r="Z43" s="71">
        <v>7.0000000000000007E-2</v>
      </c>
      <c r="AA43" s="71">
        <v>0.03</v>
      </c>
      <c r="AB43" s="71">
        <v>0.03</v>
      </c>
      <c r="AC43" s="71">
        <v>0.03</v>
      </c>
      <c r="AD43" s="71">
        <v>0.03</v>
      </c>
      <c r="AE43" s="71">
        <v>0.03</v>
      </c>
      <c r="AF43" s="71">
        <v>0.02</v>
      </c>
      <c r="AG43" s="54">
        <f t="shared" si="0"/>
        <v>1.0000000000000002</v>
      </c>
    </row>
    <row r="44" spans="1:33" x14ac:dyDescent="0.25">
      <c r="A44" s="15">
        <v>840</v>
      </c>
      <c r="B44">
        <v>0</v>
      </c>
      <c r="C44">
        <v>0</v>
      </c>
      <c r="D44">
        <v>0</v>
      </c>
      <c r="E44">
        <v>0</v>
      </c>
      <c r="F44">
        <v>0</v>
      </c>
      <c r="G44">
        <v>0</v>
      </c>
      <c r="H44">
        <v>0</v>
      </c>
      <c r="I44" s="71">
        <v>0.01</v>
      </c>
      <c r="J44" s="71">
        <v>0.01</v>
      </c>
      <c r="K44" s="71">
        <v>0.01</v>
      </c>
      <c r="L44" s="71">
        <v>0.01</v>
      </c>
      <c r="M44" s="71">
        <v>0.01</v>
      </c>
      <c r="N44" s="71">
        <v>0.01</v>
      </c>
      <c r="O44" s="71">
        <v>0.02</v>
      </c>
      <c r="P44" s="71">
        <v>0.02</v>
      </c>
      <c r="Q44" s="71">
        <v>0.04</v>
      </c>
      <c r="R44" s="71">
        <v>7.0000000000000007E-2</v>
      </c>
      <c r="S44" s="71">
        <v>0.08</v>
      </c>
      <c r="T44" s="71">
        <v>0.08</v>
      </c>
      <c r="U44" s="71">
        <v>0.08</v>
      </c>
      <c r="V44" s="71">
        <v>0.08</v>
      </c>
      <c r="W44" s="71">
        <v>0.08</v>
      </c>
      <c r="X44" s="71">
        <v>0.08</v>
      </c>
      <c r="Y44" s="71">
        <v>7.0000000000000007E-2</v>
      </c>
      <c r="Z44" s="71">
        <v>7.0000000000000007E-2</v>
      </c>
      <c r="AA44" s="71">
        <v>0.03</v>
      </c>
      <c r="AB44" s="71">
        <v>0.03</v>
      </c>
      <c r="AC44" s="71">
        <v>0.03</v>
      </c>
      <c r="AD44" s="71">
        <v>0.03</v>
      </c>
      <c r="AE44" s="71">
        <v>0.03</v>
      </c>
      <c r="AF44" s="71">
        <v>0.02</v>
      </c>
      <c r="AG44" s="54">
        <f t="shared" si="0"/>
        <v>1.0000000000000002</v>
      </c>
    </row>
    <row r="45" spans="1:33" x14ac:dyDescent="0.25">
      <c r="A45" s="15">
        <v>841</v>
      </c>
      <c r="B45">
        <v>0</v>
      </c>
      <c r="C45">
        <v>0</v>
      </c>
      <c r="D45">
        <v>0</v>
      </c>
      <c r="E45">
        <v>0</v>
      </c>
      <c r="F45">
        <v>0</v>
      </c>
      <c r="G45">
        <v>0</v>
      </c>
      <c r="H45">
        <v>0</v>
      </c>
      <c r="I45" s="71">
        <v>0.01</v>
      </c>
      <c r="J45" s="71">
        <v>0.01</v>
      </c>
      <c r="K45" s="71">
        <v>0.01</v>
      </c>
      <c r="L45" s="71">
        <v>0.01</v>
      </c>
      <c r="M45" s="71">
        <v>0.01</v>
      </c>
      <c r="N45" s="71">
        <v>0.01</v>
      </c>
      <c r="O45" s="71">
        <v>0.02</v>
      </c>
      <c r="P45" s="71">
        <v>0.02</v>
      </c>
      <c r="Q45" s="71">
        <v>0.04</v>
      </c>
      <c r="R45" s="71">
        <v>7.0000000000000007E-2</v>
      </c>
      <c r="S45" s="71">
        <v>0.08</v>
      </c>
      <c r="T45" s="71">
        <v>0.08</v>
      </c>
      <c r="U45" s="71">
        <v>0.08</v>
      </c>
      <c r="V45" s="71">
        <v>0.08</v>
      </c>
      <c r="W45" s="71">
        <v>0.08</v>
      </c>
      <c r="X45" s="71">
        <v>0.08</v>
      </c>
      <c r="Y45" s="71">
        <v>7.0000000000000007E-2</v>
      </c>
      <c r="Z45" s="71">
        <v>7.0000000000000007E-2</v>
      </c>
      <c r="AA45" s="71">
        <v>0.03</v>
      </c>
      <c r="AB45" s="71">
        <v>0.03</v>
      </c>
      <c r="AC45" s="71">
        <v>0.03</v>
      </c>
      <c r="AD45" s="71">
        <v>0.03</v>
      </c>
      <c r="AE45" s="71">
        <v>0.03</v>
      </c>
      <c r="AF45" s="71">
        <v>0.02</v>
      </c>
      <c r="AG45" s="54">
        <f t="shared" si="0"/>
        <v>1.0000000000000002</v>
      </c>
    </row>
    <row r="46" spans="1:33" x14ac:dyDescent="0.25">
      <c r="A46" s="15">
        <v>842</v>
      </c>
      <c r="B46">
        <v>0</v>
      </c>
      <c r="C46">
        <v>0</v>
      </c>
      <c r="D46">
        <v>0</v>
      </c>
      <c r="E46">
        <v>0</v>
      </c>
      <c r="F46">
        <v>0</v>
      </c>
      <c r="G46">
        <v>0</v>
      </c>
      <c r="H46">
        <v>0</v>
      </c>
      <c r="I46" s="71">
        <v>0.01</v>
      </c>
      <c r="J46" s="71">
        <v>0.01</v>
      </c>
      <c r="K46" s="71">
        <v>0.01</v>
      </c>
      <c r="L46" s="71">
        <v>0.01</v>
      </c>
      <c r="M46" s="71">
        <v>0.01</v>
      </c>
      <c r="N46" s="71">
        <v>0.01</v>
      </c>
      <c r="O46" s="71">
        <v>0.02</v>
      </c>
      <c r="P46" s="71">
        <v>0.02</v>
      </c>
      <c r="Q46" s="71">
        <v>0.04</v>
      </c>
      <c r="R46" s="71">
        <v>7.0000000000000007E-2</v>
      </c>
      <c r="S46" s="71">
        <v>0.08</v>
      </c>
      <c r="T46" s="71">
        <v>0.08</v>
      </c>
      <c r="U46" s="71">
        <v>0.08</v>
      </c>
      <c r="V46" s="71">
        <v>0.08</v>
      </c>
      <c r="W46" s="71">
        <v>0.08</v>
      </c>
      <c r="X46" s="71">
        <v>0.08</v>
      </c>
      <c r="Y46" s="71">
        <v>7.0000000000000007E-2</v>
      </c>
      <c r="Z46" s="71">
        <v>7.0000000000000007E-2</v>
      </c>
      <c r="AA46" s="71">
        <v>0.03</v>
      </c>
      <c r="AB46" s="71">
        <v>0.03</v>
      </c>
      <c r="AC46" s="71">
        <v>0.03</v>
      </c>
      <c r="AD46" s="71">
        <v>0.03</v>
      </c>
      <c r="AE46" s="71">
        <v>0.03</v>
      </c>
      <c r="AF46" s="71">
        <v>0.02</v>
      </c>
      <c r="AG46" s="54">
        <f t="shared" si="0"/>
        <v>1.0000000000000002</v>
      </c>
    </row>
    <row r="47" spans="1:33" x14ac:dyDescent="0.25">
      <c r="A47" s="15">
        <v>847</v>
      </c>
      <c r="B47">
        <v>0</v>
      </c>
      <c r="C47">
        <v>0</v>
      </c>
      <c r="D47">
        <v>0</v>
      </c>
      <c r="E47">
        <v>0</v>
      </c>
      <c r="F47">
        <v>0</v>
      </c>
      <c r="G47">
        <v>0</v>
      </c>
      <c r="H47">
        <v>0</v>
      </c>
      <c r="I47" s="71">
        <v>0.01</v>
      </c>
      <c r="J47" s="71">
        <v>0.01</v>
      </c>
      <c r="K47" s="71">
        <v>0.01</v>
      </c>
      <c r="L47" s="71">
        <v>0.01</v>
      </c>
      <c r="M47" s="71">
        <v>0.01</v>
      </c>
      <c r="N47" s="71">
        <v>0.01</v>
      </c>
      <c r="O47" s="71">
        <v>0.02</v>
      </c>
      <c r="P47" s="71">
        <v>0.02</v>
      </c>
      <c r="Q47" s="71">
        <v>0.04</v>
      </c>
      <c r="R47" s="71">
        <v>7.0000000000000007E-2</v>
      </c>
      <c r="S47" s="71">
        <v>0.08</v>
      </c>
      <c r="T47" s="71">
        <v>0.08</v>
      </c>
      <c r="U47" s="71">
        <v>0.08</v>
      </c>
      <c r="V47" s="71">
        <v>0.08</v>
      </c>
      <c r="W47" s="71">
        <v>0.08</v>
      </c>
      <c r="X47" s="71">
        <v>0.08</v>
      </c>
      <c r="Y47" s="71">
        <v>7.0000000000000007E-2</v>
      </c>
      <c r="Z47" s="71">
        <v>7.0000000000000007E-2</v>
      </c>
      <c r="AA47" s="71">
        <v>0.03</v>
      </c>
      <c r="AB47" s="71">
        <v>0.03</v>
      </c>
      <c r="AC47" s="71">
        <v>0.03</v>
      </c>
      <c r="AD47" s="71">
        <v>0.03</v>
      </c>
      <c r="AE47" s="71">
        <v>0.03</v>
      </c>
      <c r="AF47" s="71">
        <v>0.02</v>
      </c>
      <c r="AG47" s="54">
        <f t="shared" si="0"/>
        <v>1.0000000000000002</v>
      </c>
    </row>
    <row r="48" spans="1:33" x14ac:dyDescent="0.25">
      <c r="A48" s="15">
        <v>877</v>
      </c>
      <c r="B48">
        <v>0</v>
      </c>
      <c r="C48">
        <v>0</v>
      </c>
      <c r="D48">
        <v>0</v>
      </c>
      <c r="E48">
        <v>0</v>
      </c>
      <c r="F48">
        <v>0</v>
      </c>
      <c r="G48">
        <v>0</v>
      </c>
      <c r="H48">
        <v>0</v>
      </c>
      <c r="I48" s="71">
        <v>0.01</v>
      </c>
      <c r="J48" s="71">
        <v>0.01</v>
      </c>
      <c r="K48" s="71">
        <v>0.01</v>
      </c>
      <c r="L48" s="71">
        <v>0.01</v>
      </c>
      <c r="M48" s="71">
        <v>0.01</v>
      </c>
      <c r="N48" s="71">
        <v>0.01</v>
      </c>
      <c r="O48" s="71">
        <v>0.02</v>
      </c>
      <c r="P48" s="71">
        <v>0.02</v>
      </c>
      <c r="Q48" s="71">
        <v>0.04</v>
      </c>
      <c r="R48" s="71">
        <v>7.0000000000000007E-2</v>
      </c>
      <c r="S48" s="71">
        <v>0.08</v>
      </c>
      <c r="T48" s="71">
        <v>0.08</v>
      </c>
      <c r="U48" s="71">
        <v>0.08</v>
      </c>
      <c r="V48" s="71">
        <v>0.08</v>
      </c>
      <c r="W48" s="71">
        <v>0.08</v>
      </c>
      <c r="X48" s="71">
        <v>0.08</v>
      </c>
      <c r="Y48" s="71">
        <v>7.0000000000000007E-2</v>
      </c>
      <c r="Z48" s="71">
        <v>7.0000000000000007E-2</v>
      </c>
      <c r="AA48" s="71">
        <v>0.03</v>
      </c>
      <c r="AB48" s="71">
        <v>0.03</v>
      </c>
      <c r="AC48" s="71">
        <v>0.03</v>
      </c>
      <c r="AD48" s="71">
        <v>0.03</v>
      </c>
      <c r="AE48" s="71">
        <v>0.03</v>
      </c>
      <c r="AF48" s="71">
        <v>0.02</v>
      </c>
      <c r="AG48" s="54">
        <f t="shared" si="0"/>
        <v>1.0000000000000002</v>
      </c>
    </row>
    <row r="49" spans="1:33" x14ac:dyDescent="0.25">
      <c r="A49" s="15">
        <v>898</v>
      </c>
      <c r="B49">
        <v>0</v>
      </c>
      <c r="C49">
        <v>0</v>
      </c>
      <c r="D49">
        <v>0</v>
      </c>
      <c r="E49">
        <v>0</v>
      </c>
      <c r="F49">
        <v>0</v>
      </c>
      <c r="G49">
        <v>0</v>
      </c>
      <c r="H49">
        <v>0</v>
      </c>
      <c r="I49" s="71">
        <v>0.01</v>
      </c>
      <c r="J49" s="71">
        <v>0.01</v>
      </c>
      <c r="K49" s="71">
        <v>0.01</v>
      </c>
      <c r="L49" s="71">
        <v>0.01</v>
      </c>
      <c r="M49" s="71">
        <v>0.01</v>
      </c>
      <c r="N49" s="71">
        <v>0.01</v>
      </c>
      <c r="O49" s="71">
        <v>0.02</v>
      </c>
      <c r="P49" s="71">
        <v>0.02</v>
      </c>
      <c r="Q49" s="71">
        <v>0.04</v>
      </c>
      <c r="R49" s="71">
        <v>7.0000000000000007E-2</v>
      </c>
      <c r="S49" s="71">
        <v>0.08</v>
      </c>
      <c r="T49" s="71">
        <v>0.08</v>
      </c>
      <c r="U49" s="71">
        <v>0.08</v>
      </c>
      <c r="V49" s="71">
        <v>0.08</v>
      </c>
      <c r="W49" s="71">
        <v>0.08</v>
      </c>
      <c r="X49" s="71">
        <v>0.08</v>
      </c>
      <c r="Y49" s="71">
        <v>7.0000000000000007E-2</v>
      </c>
      <c r="Z49" s="71">
        <v>7.0000000000000007E-2</v>
      </c>
      <c r="AA49" s="71">
        <v>0.03</v>
      </c>
      <c r="AB49" s="71">
        <v>0.03</v>
      </c>
      <c r="AC49" s="71">
        <v>0.03</v>
      </c>
      <c r="AD49" s="71">
        <v>0.03</v>
      </c>
      <c r="AE49" s="71">
        <v>0.03</v>
      </c>
      <c r="AF49" s="71">
        <v>0.02</v>
      </c>
      <c r="AG49" s="54">
        <f t="shared" si="0"/>
        <v>1.0000000000000002</v>
      </c>
    </row>
    <row r="50" spans="1:33" x14ac:dyDescent="0.25">
      <c r="A50" s="15">
        <v>899</v>
      </c>
      <c r="B50">
        <v>0</v>
      </c>
      <c r="C50">
        <v>0</v>
      </c>
      <c r="D50">
        <v>0</v>
      </c>
      <c r="E50">
        <v>0</v>
      </c>
      <c r="F50">
        <v>0</v>
      </c>
      <c r="G50">
        <v>0</v>
      </c>
      <c r="H50">
        <v>0</v>
      </c>
      <c r="I50" s="71">
        <v>0.01</v>
      </c>
      <c r="J50" s="71">
        <v>0.01</v>
      </c>
      <c r="K50" s="71">
        <v>0.01</v>
      </c>
      <c r="L50" s="71">
        <v>0.01</v>
      </c>
      <c r="M50" s="71">
        <v>0.01</v>
      </c>
      <c r="N50" s="71">
        <v>0.01</v>
      </c>
      <c r="O50" s="71">
        <v>0.02</v>
      </c>
      <c r="P50" s="71">
        <v>0.02</v>
      </c>
      <c r="Q50" s="71">
        <v>0.04</v>
      </c>
      <c r="R50" s="71">
        <v>7.0000000000000007E-2</v>
      </c>
      <c r="S50" s="71">
        <v>0.08</v>
      </c>
      <c r="T50" s="71">
        <v>0.08</v>
      </c>
      <c r="U50" s="71">
        <v>0.08</v>
      </c>
      <c r="V50" s="71">
        <v>0.08</v>
      </c>
      <c r="W50" s="71">
        <v>0.08</v>
      </c>
      <c r="X50" s="71">
        <v>0.08</v>
      </c>
      <c r="Y50" s="71">
        <v>7.0000000000000007E-2</v>
      </c>
      <c r="Z50" s="71">
        <v>7.0000000000000007E-2</v>
      </c>
      <c r="AA50" s="71">
        <v>0.03</v>
      </c>
      <c r="AB50" s="71">
        <v>0.03</v>
      </c>
      <c r="AC50" s="71">
        <v>0.03</v>
      </c>
      <c r="AD50" s="71">
        <v>0.03</v>
      </c>
      <c r="AE50" s="71">
        <v>0.03</v>
      </c>
      <c r="AF50" s="71">
        <v>0.02</v>
      </c>
      <c r="AG50" s="54">
        <f t="shared" si="0"/>
        <v>1.0000000000000002</v>
      </c>
    </row>
    <row r="51" spans="1:33" x14ac:dyDescent="0.25">
      <c r="A51" s="15">
        <v>1912</v>
      </c>
      <c r="B51">
        <v>0</v>
      </c>
      <c r="C51">
        <v>0</v>
      </c>
      <c r="D51">
        <v>0</v>
      </c>
      <c r="E51">
        <v>0</v>
      </c>
      <c r="F51">
        <v>0</v>
      </c>
      <c r="G51">
        <v>0</v>
      </c>
      <c r="H51">
        <v>0</v>
      </c>
      <c r="I51" s="71">
        <v>0.01</v>
      </c>
      <c r="J51" s="71">
        <v>0.01</v>
      </c>
      <c r="K51" s="71">
        <v>0.01</v>
      </c>
      <c r="L51" s="71">
        <v>0.01</v>
      </c>
      <c r="M51" s="71">
        <v>0.01</v>
      </c>
      <c r="N51" s="71">
        <v>0.01</v>
      </c>
      <c r="O51" s="71">
        <v>0.02</v>
      </c>
      <c r="P51" s="71">
        <v>0.02</v>
      </c>
      <c r="Q51" s="71">
        <v>0.04</v>
      </c>
      <c r="R51" s="71">
        <v>7.0000000000000007E-2</v>
      </c>
      <c r="S51" s="71">
        <v>0.08</v>
      </c>
      <c r="T51" s="71">
        <v>0.08</v>
      </c>
      <c r="U51" s="71">
        <v>0.08</v>
      </c>
      <c r="V51" s="71">
        <v>0.08</v>
      </c>
      <c r="W51" s="71">
        <v>0.08</v>
      </c>
      <c r="X51" s="71">
        <v>0.08</v>
      </c>
      <c r="Y51" s="71">
        <v>7.0000000000000007E-2</v>
      </c>
      <c r="Z51" s="71">
        <v>7.0000000000000007E-2</v>
      </c>
      <c r="AA51" s="71">
        <v>0.03</v>
      </c>
      <c r="AB51" s="71">
        <v>0.03</v>
      </c>
      <c r="AC51" s="71">
        <v>0.03</v>
      </c>
      <c r="AD51" s="71">
        <v>0.03</v>
      </c>
      <c r="AE51" s="71">
        <v>0.03</v>
      </c>
      <c r="AF51" s="71">
        <v>0.02</v>
      </c>
      <c r="AG51" s="54">
        <f t="shared" si="0"/>
        <v>1.0000000000000002</v>
      </c>
    </row>
  </sheetData>
  <pageMargins left="0.7" right="0.7" top="0.75" bottom="0.75" header="0.3" footer="0.3"/>
  <ignoredErrors>
    <ignoredError sqref="AG2:AG51" formulaRange="1"/>
  </ignoredError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G2602"/>
  <sheetViews>
    <sheetView showGridLines="0" topLeftCell="A2578" workbookViewId="0">
      <selection activeCell="E2602" sqref="A2580:E2602"/>
    </sheetView>
  </sheetViews>
  <sheetFormatPr defaultRowHeight="15" customHeight="1" x14ac:dyDescent="0.25"/>
  <cols>
    <col min="1" max="1" width="12.42578125" customWidth="1"/>
    <col min="2" max="2" width="22.28515625" customWidth="1"/>
    <col min="3" max="3" width="10.7109375" customWidth="1"/>
    <col min="4" max="4" width="28.7109375" customWidth="1"/>
  </cols>
  <sheetData>
    <row r="1" spans="1:5" ht="30" customHeight="1" x14ac:dyDescent="0.25">
      <c r="A1" s="1" t="s">
        <v>56</v>
      </c>
      <c r="B1" s="1" t="s">
        <v>57</v>
      </c>
      <c r="C1" s="42" t="s">
        <v>58</v>
      </c>
      <c r="D1" s="42" t="s">
        <v>59</v>
      </c>
      <c r="E1" s="43" t="s">
        <v>60</v>
      </c>
    </row>
    <row r="2" spans="1:5" ht="15" customHeight="1" x14ac:dyDescent="0.25">
      <c r="A2">
        <v>1</v>
      </c>
      <c r="B2" t="s">
        <v>117</v>
      </c>
      <c r="C2">
        <v>1</v>
      </c>
      <c r="D2" t="s">
        <v>117</v>
      </c>
      <c r="E2" s="6">
        <v>0</v>
      </c>
    </row>
    <row r="3" spans="1:5" ht="15" customHeight="1" x14ac:dyDescent="0.25">
      <c r="A3">
        <v>1</v>
      </c>
      <c r="B3" t="s">
        <v>117</v>
      </c>
      <c r="C3">
        <v>3</v>
      </c>
      <c r="D3" t="s">
        <v>118</v>
      </c>
      <c r="E3" s="6">
        <v>58.48</v>
      </c>
    </row>
    <row r="4" spans="1:5" ht="15" customHeight="1" x14ac:dyDescent="0.25">
      <c r="A4">
        <v>1</v>
      </c>
      <c r="B4" t="s">
        <v>117</v>
      </c>
      <c r="C4">
        <v>5</v>
      </c>
      <c r="D4" t="s">
        <v>119</v>
      </c>
      <c r="E4" s="6">
        <v>105.86</v>
      </c>
    </row>
    <row r="5" spans="1:5" ht="15" customHeight="1" x14ac:dyDescent="0.25">
      <c r="A5">
        <v>1</v>
      </c>
      <c r="B5" t="s">
        <v>117</v>
      </c>
      <c r="C5">
        <v>11</v>
      </c>
      <c r="D5" t="s">
        <v>120</v>
      </c>
      <c r="E5" s="6">
        <v>85.52</v>
      </c>
    </row>
    <row r="6" spans="1:5" ht="15" customHeight="1" x14ac:dyDescent="0.25">
      <c r="A6">
        <v>1</v>
      </c>
      <c r="B6" t="s">
        <v>117</v>
      </c>
      <c r="C6">
        <v>12</v>
      </c>
      <c r="D6" t="s">
        <v>121</v>
      </c>
      <c r="E6" s="6">
        <v>54.85</v>
      </c>
    </row>
    <row r="7" spans="1:5" ht="15" customHeight="1" x14ac:dyDescent="0.25">
      <c r="A7">
        <v>1</v>
      </c>
      <c r="B7" t="s">
        <v>117</v>
      </c>
      <c r="C7">
        <v>29</v>
      </c>
      <c r="D7" t="s">
        <v>122</v>
      </c>
      <c r="E7" s="6">
        <v>120.87</v>
      </c>
    </row>
    <row r="8" spans="1:5" ht="15" customHeight="1" x14ac:dyDescent="0.25">
      <c r="A8">
        <v>1</v>
      </c>
      <c r="B8" t="s">
        <v>117</v>
      </c>
      <c r="C8">
        <v>70</v>
      </c>
      <c r="D8" t="s">
        <v>123</v>
      </c>
      <c r="E8" s="6">
        <v>81.53</v>
      </c>
    </row>
    <row r="9" spans="1:5" ht="15" customHeight="1" x14ac:dyDescent="0.25">
      <c r="A9">
        <v>1</v>
      </c>
      <c r="B9" t="s">
        <v>117</v>
      </c>
      <c r="C9">
        <v>71</v>
      </c>
      <c r="D9" t="s">
        <v>124</v>
      </c>
      <c r="E9" s="6">
        <v>125.67</v>
      </c>
    </row>
    <row r="10" spans="1:5" ht="15" customHeight="1" x14ac:dyDescent="0.25">
      <c r="A10">
        <v>1</v>
      </c>
      <c r="B10" t="s">
        <v>117</v>
      </c>
      <c r="C10">
        <v>384</v>
      </c>
      <c r="D10" t="s">
        <v>125</v>
      </c>
      <c r="E10" s="6">
        <v>0.87</v>
      </c>
    </row>
    <row r="11" spans="1:5" ht="15" customHeight="1" x14ac:dyDescent="0.25">
      <c r="A11">
        <v>1</v>
      </c>
      <c r="B11" t="s">
        <v>117</v>
      </c>
      <c r="C11">
        <v>429</v>
      </c>
      <c r="D11" t="s">
        <v>126</v>
      </c>
      <c r="E11" s="6">
        <v>69.59</v>
      </c>
    </row>
    <row r="12" spans="1:5" ht="15" customHeight="1" x14ac:dyDescent="0.25">
      <c r="A12">
        <v>1</v>
      </c>
      <c r="B12" t="s">
        <v>117</v>
      </c>
      <c r="C12">
        <v>486</v>
      </c>
      <c r="D12" t="s">
        <v>127</v>
      </c>
      <c r="E12" s="6">
        <v>66.58</v>
      </c>
    </row>
    <row r="13" spans="1:5" ht="15" customHeight="1" x14ac:dyDescent="0.25">
      <c r="A13">
        <v>1</v>
      </c>
      <c r="B13" t="s">
        <v>117</v>
      </c>
      <c r="C13">
        <v>546</v>
      </c>
      <c r="D13" t="s">
        <v>128</v>
      </c>
      <c r="E13" s="6">
        <v>72.47</v>
      </c>
    </row>
    <row r="14" spans="1:5" ht="15" customHeight="1" x14ac:dyDescent="0.25">
      <c r="A14">
        <v>1</v>
      </c>
      <c r="B14" t="s">
        <v>117</v>
      </c>
      <c r="C14">
        <v>599</v>
      </c>
      <c r="D14" t="s">
        <v>129</v>
      </c>
      <c r="E14" s="6">
        <v>5.18</v>
      </c>
    </row>
    <row r="15" spans="1:5" ht="15" customHeight="1" x14ac:dyDescent="0.25">
      <c r="A15">
        <v>1</v>
      </c>
      <c r="B15" t="s">
        <v>117</v>
      </c>
      <c r="C15">
        <v>620</v>
      </c>
      <c r="D15" t="s">
        <v>130</v>
      </c>
      <c r="E15" s="6">
        <v>41.48</v>
      </c>
    </row>
    <row r="16" spans="1:5" ht="15" customHeight="1" x14ac:dyDescent="0.25">
      <c r="A16">
        <v>1</v>
      </c>
      <c r="B16" t="s">
        <v>117</v>
      </c>
      <c r="C16">
        <v>626</v>
      </c>
      <c r="D16" t="s">
        <v>131</v>
      </c>
      <c r="E16" s="6">
        <v>3.49</v>
      </c>
    </row>
    <row r="17" spans="1:5" ht="15" customHeight="1" x14ac:dyDescent="0.25">
      <c r="A17">
        <v>1</v>
      </c>
      <c r="B17" t="s">
        <v>117</v>
      </c>
      <c r="C17">
        <v>627</v>
      </c>
      <c r="D17" t="s">
        <v>132</v>
      </c>
      <c r="E17" s="6">
        <v>4.9800000000000004</v>
      </c>
    </row>
    <row r="18" spans="1:5" ht="15" customHeight="1" x14ac:dyDescent="0.25">
      <c r="A18">
        <v>1</v>
      </c>
      <c r="B18" t="s">
        <v>117</v>
      </c>
      <c r="C18">
        <v>651</v>
      </c>
      <c r="D18" t="s">
        <v>133</v>
      </c>
      <c r="E18" s="6">
        <v>2.4900000000000002</v>
      </c>
    </row>
    <row r="19" spans="1:5" ht="15" customHeight="1" x14ac:dyDescent="0.25">
      <c r="A19">
        <v>1</v>
      </c>
      <c r="B19" t="s">
        <v>117</v>
      </c>
      <c r="C19">
        <v>668</v>
      </c>
      <c r="D19" t="s">
        <v>134</v>
      </c>
      <c r="E19" s="6">
        <v>3.24</v>
      </c>
    </row>
    <row r="20" spans="1:5" ht="15" customHeight="1" x14ac:dyDescent="0.25">
      <c r="A20">
        <v>1</v>
      </c>
      <c r="B20" t="s">
        <v>117</v>
      </c>
      <c r="C20">
        <v>681</v>
      </c>
      <c r="D20" t="s">
        <v>135</v>
      </c>
      <c r="E20" s="6">
        <v>3.26</v>
      </c>
    </row>
    <row r="21" spans="1:5" ht="15" customHeight="1" x14ac:dyDescent="0.25">
      <c r="A21">
        <v>1</v>
      </c>
      <c r="B21" t="s">
        <v>117</v>
      </c>
      <c r="C21">
        <v>682</v>
      </c>
      <c r="D21" t="s">
        <v>136</v>
      </c>
      <c r="E21" s="6">
        <v>0.68</v>
      </c>
    </row>
    <row r="22" spans="1:5" ht="15" customHeight="1" x14ac:dyDescent="0.25">
      <c r="A22">
        <v>1</v>
      </c>
      <c r="B22" t="s">
        <v>117</v>
      </c>
      <c r="C22">
        <v>683</v>
      </c>
      <c r="D22" t="s">
        <v>137</v>
      </c>
      <c r="E22" s="6">
        <v>0.53</v>
      </c>
    </row>
    <row r="23" spans="1:5" ht="15" customHeight="1" x14ac:dyDescent="0.25">
      <c r="A23">
        <v>1</v>
      </c>
      <c r="B23" t="s">
        <v>117</v>
      </c>
      <c r="C23">
        <v>684</v>
      </c>
      <c r="D23" t="s">
        <v>138</v>
      </c>
      <c r="E23" s="6">
        <v>1.35</v>
      </c>
    </row>
    <row r="24" spans="1:5" ht="15" customHeight="1" x14ac:dyDescent="0.25">
      <c r="A24">
        <v>1</v>
      </c>
      <c r="B24" t="s">
        <v>117</v>
      </c>
      <c r="C24">
        <v>685</v>
      </c>
      <c r="D24" t="s">
        <v>139</v>
      </c>
      <c r="E24" s="6">
        <v>1.84</v>
      </c>
    </row>
    <row r="25" spans="1:5" ht="15" customHeight="1" x14ac:dyDescent="0.25">
      <c r="A25">
        <v>1</v>
      </c>
      <c r="B25" t="s">
        <v>117</v>
      </c>
      <c r="C25">
        <v>691</v>
      </c>
      <c r="D25" t="s">
        <v>140</v>
      </c>
      <c r="E25" s="6">
        <v>3.2</v>
      </c>
    </row>
    <row r="26" spans="1:5" ht="15" customHeight="1" x14ac:dyDescent="0.25">
      <c r="A26">
        <v>1</v>
      </c>
      <c r="B26" t="s">
        <v>117</v>
      </c>
      <c r="C26">
        <v>706</v>
      </c>
      <c r="D26" t="s">
        <v>141</v>
      </c>
      <c r="E26" s="6">
        <v>2.0299999999999998</v>
      </c>
    </row>
    <row r="27" spans="1:5" ht="15" customHeight="1" x14ac:dyDescent="0.25">
      <c r="A27">
        <v>1</v>
      </c>
      <c r="B27" t="s">
        <v>117</v>
      </c>
      <c r="C27">
        <v>713</v>
      </c>
      <c r="D27" t="s">
        <v>142</v>
      </c>
      <c r="E27" s="6">
        <v>1.72</v>
      </c>
    </row>
    <row r="28" spans="1:5" ht="15" customHeight="1" x14ac:dyDescent="0.25">
      <c r="A28">
        <v>1</v>
      </c>
      <c r="B28" t="s">
        <v>117</v>
      </c>
      <c r="C28">
        <v>718</v>
      </c>
      <c r="D28" t="s">
        <v>143</v>
      </c>
      <c r="E28" s="6">
        <v>3.03</v>
      </c>
    </row>
    <row r="29" spans="1:5" ht="15" customHeight="1" x14ac:dyDescent="0.25">
      <c r="A29">
        <v>1</v>
      </c>
      <c r="B29" t="s">
        <v>117</v>
      </c>
      <c r="C29">
        <v>731</v>
      </c>
      <c r="D29" t="s">
        <v>144</v>
      </c>
      <c r="E29" s="6">
        <v>30.38</v>
      </c>
    </row>
    <row r="30" spans="1:5" ht="15" customHeight="1" x14ac:dyDescent="0.25">
      <c r="A30">
        <v>1</v>
      </c>
      <c r="B30" t="s">
        <v>117</v>
      </c>
      <c r="C30">
        <v>743</v>
      </c>
      <c r="D30" t="s">
        <v>145</v>
      </c>
      <c r="E30" s="6">
        <v>14.78</v>
      </c>
    </row>
    <row r="31" spans="1:5" ht="15" customHeight="1" x14ac:dyDescent="0.25">
      <c r="A31">
        <v>1</v>
      </c>
      <c r="B31" t="s">
        <v>117</v>
      </c>
      <c r="C31">
        <v>760</v>
      </c>
      <c r="D31" t="s">
        <v>146</v>
      </c>
      <c r="E31" s="6">
        <v>2.4700000000000002</v>
      </c>
    </row>
    <row r="32" spans="1:5" ht="15" customHeight="1" x14ac:dyDescent="0.25">
      <c r="A32">
        <v>1</v>
      </c>
      <c r="B32" t="s">
        <v>117</v>
      </c>
      <c r="C32">
        <v>765</v>
      </c>
      <c r="D32" t="s">
        <v>147</v>
      </c>
      <c r="E32" s="6">
        <v>4.4000000000000004</v>
      </c>
    </row>
    <row r="33" spans="1:5" ht="15" customHeight="1" x14ac:dyDescent="0.25">
      <c r="A33">
        <v>1</v>
      </c>
      <c r="B33" t="s">
        <v>117</v>
      </c>
      <c r="C33">
        <v>766</v>
      </c>
      <c r="D33" t="s">
        <v>148</v>
      </c>
      <c r="E33" s="6">
        <v>1.77</v>
      </c>
    </row>
    <row r="34" spans="1:5" ht="15" customHeight="1" x14ac:dyDescent="0.25">
      <c r="A34">
        <v>1</v>
      </c>
      <c r="B34" t="s">
        <v>117</v>
      </c>
      <c r="C34">
        <v>767</v>
      </c>
      <c r="D34" t="s">
        <v>149</v>
      </c>
      <c r="E34" s="6">
        <v>6.29</v>
      </c>
    </row>
    <row r="35" spans="1:5" ht="15" customHeight="1" x14ac:dyDescent="0.25">
      <c r="A35">
        <v>1</v>
      </c>
      <c r="B35" t="s">
        <v>117</v>
      </c>
      <c r="C35">
        <v>795</v>
      </c>
      <c r="D35" t="s">
        <v>150</v>
      </c>
      <c r="E35" s="6">
        <v>1.37</v>
      </c>
    </row>
    <row r="36" spans="1:5" ht="15" customHeight="1" x14ac:dyDescent="0.25">
      <c r="A36">
        <v>1</v>
      </c>
      <c r="B36" t="s">
        <v>117</v>
      </c>
      <c r="C36">
        <v>798</v>
      </c>
      <c r="D36" t="s">
        <v>151</v>
      </c>
      <c r="E36" s="6">
        <v>4.54</v>
      </c>
    </row>
    <row r="37" spans="1:5" ht="15" customHeight="1" x14ac:dyDescent="0.25">
      <c r="A37">
        <v>1</v>
      </c>
      <c r="B37" t="s">
        <v>117</v>
      </c>
      <c r="C37">
        <v>799</v>
      </c>
      <c r="D37" t="s">
        <v>152</v>
      </c>
      <c r="E37" s="6">
        <v>3.18</v>
      </c>
    </row>
    <row r="38" spans="1:5" ht="15" customHeight="1" x14ac:dyDescent="0.25">
      <c r="A38">
        <v>1</v>
      </c>
      <c r="B38" t="s">
        <v>117</v>
      </c>
      <c r="C38">
        <v>811</v>
      </c>
      <c r="D38" t="s">
        <v>153</v>
      </c>
      <c r="E38" s="6">
        <v>5.74</v>
      </c>
    </row>
    <row r="39" spans="1:5" ht="15" customHeight="1" x14ac:dyDescent="0.25">
      <c r="A39">
        <v>1</v>
      </c>
      <c r="B39" t="s">
        <v>117</v>
      </c>
      <c r="C39">
        <v>820</v>
      </c>
      <c r="D39" t="s">
        <v>154</v>
      </c>
      <c r="E39" s="6">
        <v>3.36</v>
      </c>
    </row>
    <row r="40" spans="1:5" ht="15" customHeight="1" x14ac:dyDescent="0.25">
      <c r="A40">
        <v>1</v>
      </c>
      <c r="B40" t="s">
        <v>117</v>
      </c>
      <c r="C40">
        <v>830</v>
      </c>
      <c r="D40" t="s">
        <v>155</v>
      </c>
      <c r="E40" s="6">
        <v>3.67</v>
      </c>
    </row>
    <row r="41" spans="1:5" ht="15" customHeight="1" x14ac:dyDescent="0.25">
      <c r="A41">
        <v>1</v>
      </c>
      <c r="B41" t="s">
        <v>117</v>
      </c>
      <c r="C41">
        <v>831</v>
      </c>
      <c r="D41" t="s">
        <v>156</v>
      </c>
      <c r="E41" s="6">
        <v>7.41</v>
      </c>
    </row>
    <row r="42" spans="1:5" ht="15" customHeight="1" x14ac:dyDescent="0.25">
      <c r="A42">
        <v>1</v>
      </c>
      <c r="B42" t="s">
        <v>117</v>
      </c>
      <c r="C42">
        <v>832</v>
      </c>
      <c r="D42" t="s">
        <v>157</v>
      </c>
      <c r="E42" s="6">
        <v>3.56</v>
      </c>
    </row>
    <row r="43" spans="1:5" ht="15" customHeight="1" x14ac:dyDescent="0.25">
      <c r="A43">
        <v>1</v>
      </c>
      <c r="B43" t="s">
        <v>117</v>
      </c>
      <c r="C43">
        <v>833</v>
      </c>
      <c r="D43" t="s">
        <v>158</v>
      </c>
      <c r="E43" s="6">
        <v>2</v>
      </c>
    </row>
    <row r="44" spans="1:5" ht="15" customHeight="1" x14ac:dyDescent="0.25">
      <c r="A44">
        <v>1</v>
      </c>
      <c r="B44" t="s">
        <v>117</v>
      </c>
      <c r="C44">
        <v>840</v>
      </c>
      <c r="D44" t="s">
        <v>159</v>
      </c>
      <c r="E44" s="6">
        <v>5.67</v>
      </c>
    </row>
    <row r="45" spans="1:5" ht="15" customHeight="1" x14ac:dyDescent="0.25">
      <c r="A45">
        <v>1</v>
      </c>
      <c r="B45" t="s">
        <v>117</v>
      </c>
      <c r="C45">
        <v>841</v>
      </c>
      <c r="D45" t="s">
        <v>160</v>
      </c>
      <c r="E45" s="6">
        <v>1.97</v>
      </c>
    </row>
    <row r="46" spans="1:5" ht="15" customHeight="1" x14ac:dyDescent="0.25">
      <c r="A46">
        <v>1</v>
      </c>
      <c r="B46" t="s">
        <v>117</v>
      </c>
      <c r="C46">
        <v>842</v>
      </c>
      <c r="D46" t="s">
        <v>161</v>
      </c>
      <c r="E46" s="6">
        <v>3.44</v>
      </c>
    </row>
    <row r="47" spans="1:5" ht="15" customHeight="1" x14ac:dyDescent="0.25">
      <c r="A47">
        <v>1</v>
      </c>
      <c r="B47" t="s">
        <v>117</v>
      </c>
      <c r="C47">
        <v>847</v>
      </c>
      <c r="D47" t="s">
        <v>162</v>
      </c>
      <c r="E47" s="6">
        <v>2.13</v>
      </c>
    </row>
    <row r="48" spans="1:5" ht="15" customHeight="1" x14ac:dyDescent="0.25">
      <c r="A48">
        <v>1</v>
      </c>
      <c r="B48" t="s">
        <v>117</v>
      </c>
      <c r="C48">
        <v>877</v>
      </c>
      <c r="D48" t="s">
        <v>163</v>
      </c>
      <c r="E48" s="6">
        <v>20.91</v>
      </c>
    </row>
    <row r="49" spans="1:5" ht="15" customHeight="1" x14ac:dyDescent="0.25">
      <c r="A49">
        <v>1</v>
      </c>
      <c r="B49" t="s">
        <v>117</v>
      </c>
      <c r="C49">
        <v>898</v>
      </c>
      <c r="D49" t="s">
        <v>164</v>
      </c>
      <c r="E49" s="6">
        <v>4.0999999999999996</v>
      </c>
    </row>
    <row r="50" spans="1:5" ht="15" customHeight="1" x14ac:dyDescent="0.25">
      <c r="A50">
        <v>1</v>
      </c>
      <c r="B50" t="s">
        <v>117</v>
      </c>
      <c r="C50">
        <v>899</v>
      </c>
      <c r="D50" t="s">
        <v>165</v>
      </c>
      <c r="E50" s="6">
        <v>4.21</v>
      </c>
    </row>
    <row r="51" spans="1:5" ht="15" customHeight="1" x14ac:dyDescent="0.25">
      <c r="A51">
        <v>1</v>
      </c>
      <c r="B51" t="s">
        <v>117</v>
      </c>
      <c r="C51">
        <v>1912</v>
      </c>
      <c r="D51" t="s">
        <v>166</v>
      </c>
      <c r="E51" s="6">
        <v>25.9</v>
      </c>
    </row>
    <row r="52" spans="1:5" ht="15" customHeight="1" x14ac:dyDescent="0.25">
      <c r="A52">
        <v>1</v>
      </c>
      <c r="B52" t="s">
        <v>117</v>
      </c>
      <c r="C52">
        <v>9999</v>
      </c>
      <c r="D52" t="s">
        <v>117</v>
      </c>
      <c r="E52" s="6">
        <v>0</v>
      </c>
    </row>
    <row r="53" spans="1:5" ht="15" customHeight="1" x14ac:dyDescent="0.25">
      <c r="A53">
        <v>3</v>
      </c>
      <c r="B53" t="s">
        <v>118</v>
      </c>
      <c r="C53">
        <v>1</v>
      </c>
      <c r="D53" t="s">
        <v>117</v>
      </c>
      <c r="E53" s="6">
        <v>58.48</v>
      </c>
    </row>
    <row r="54" spans="1:5" ht="15" customHeight="1" x14ac:dyDescent="0.25">
      <c r="A54">
        <v>3</v>
      </c>
      <c r="B54" t="s">
        <v>118</v>
      </c>
      <c r="C54">
        <v>3</v>
      </c>
      <c r="D54" t="s">
        <v>118</v>
      </c>
      <c r="E54" s="6">
        <v>0</v>
      </c>
    </row>
    <row r="55" spans="1:5" ht="15" customHeight="1" x14ac:dyDescent="0.25">
      <c r="A55">
        <v>3</v>
      </c>
      <c r="B55" t="s">
        <v>118</v>
      </c>
      <c r="C55">
        <v>5</v>
      </c>
      <c r="D55" t="s">
        <v>119</v>
      </c>
      <c r="E55" s="6">
        <v>47.84</v>
      </c>
    </row>
    <row r="56" spans="1:5" ht="15" customHeight="1" x14ac:dyDescent="0.25">
      <c r="A56">
        <v>3</v>
      </c>
      <c r="B56" t="s">
        <v>118</v>
      </c>
      <c r="C56">
        <v>11</v>
      </c>
      <c r="D56" t="s">
        <v>120</v>
      </c>
      <c r="E56" s="6">
        <v>45.42</v>
      </c>
    </row>
    <row r="57" spans="1:5" ht="15" customHeight="1" x14ac:dyDescent="0.25">
      <c r="A57">
        <v>3</v>
      </c>
      <c r="B57" t="s">
        <v>118</v>
      </c>
      <c r="C57">
        <v>12</v>
      </c>
      <c r="D57" t="s">
        <v>121</v>
      </c>
      <c r="E57" s="6">
        <v>54.94</v>
      </c>
    </row>
    <row r="58" spans="1:5" ht="15" customHeight="1" x14ac:dyDescent="0.25">
      <c r="A58">
        <v>3</v>
      </c>
      <c r="B58" t="s">
        <v>118</v>
      </c>
      <c r="C58">
        <v>29</v>
      </c>
      <c r="D58" t="s">
        <v>122</v>
      </c>
      <c r="E58" s="6">
        <v>168.29</v>
      </c>
    </row>
    <row r="59" spans="1:5" ht="15" customHeight="1" x14ac:dyDescent="0.25">
      <c r="A59">
        <v>3</v>
      </c>
      <c r="B59" t="s">
        <v>118</v>
      </c>
      <c r="C59">
        <v>70</v>
      </c>
      <c r="D59" t="s">
        <v>123</v>
      </c>
      <c r="E59" s="6">
        <v>97.21</v>
      </c>
    </row>
    <row r="60" spans="1:5" ht="15" customHeight="1" x14ac:dyDescent="0.25">
      <c r="A60">
        <v>3</v>
      </c>
      <c r="B60" t="s">
        <v>118</v>
      </c>
      <c r="C60">
        <v>71</v>
      </c>
      <c r="D60" t="s">
        <v>124</v>
      </c>
      <c r="E60" s="6">
        <v>167.2</v>
      </c>
    </row>
    <row r="61" spans="1:5" ht="15" customHeight="1" x14ac:dyDescent="0.25">
      <c r="A61">
        <v>3</v>
      </c>
      <c r="B61" t="s">
        <v>118</v>
      </c>
      <c r="C61">
        <v>384</v>
      </c>
      <c r="D61" t="s">
        <v>125</v>
      </c>
      <c r="E61" s="6">
        <v>59.32</v>
      </c>
    </row>
    <row r="62" spans="1:5" ht="15" customHeight="1" x14ac:dyDescent="0.25">
      <c r="A62">
        <v>3</v>
      </c>
      <c r="B62" t="s">
        <v>118</v>
      </c>
      <c r="C62">
        <v>429</v>
      </c>
      <c r="D62" t="s">
        <v>126</v>
      </c>
      <c r="E62" s="6">
        <v>114.41</v>
      </c>
    </row>
    <row r="63" spans="1:5" ht="15" customHeight="1" x14ac:dyDescent="0.25">
      <c r="A63">
        <v>3</v>
      </c>
      <c r="B63" t="s">
        <v>118</v>
      </c>
      <c r="C63">
        <v>486</v>
      </c>
      <c r="D63" t="s">
        <v>127</v>
      </c>
      <c r="E63" s="6">
        <v>47.53</v>
      </c>
    </row>
    <row r="64" spans="1:5" ht="15" customHeight="1" x14ac:dyDescent="0.25">
      <c r="A64">
        <v>3</v>
      </c>
      <c r="B64" t="s">
        <v>118</v>
      </c>
      <c r="C64">
        <v>546</v>
      </c>
      <c r="D64" t="s">
        <v>128</v>
      </c>
      <c r="E64" s="6">
        <v>20.86</v>
      </c>
    </row>
    <row r="65" spans="1:5" ht="15" customHeight="1" x14ac:dyDescent="0.25">
      <c r="A65">
        <v>3</v>
      </c>
      <c r="B65" t="s">
        <v>118</v>
      </c>
      <c r="C65">
        <v>599</v>
      </c>
      <c r="D65" t="s">
        <v>129</v>
      </c>
      <c r="E65" s="6">
        <v>53.68</v>
      </c>
    </row>
    <row r="66" spans="1:5" ht="15" customHeight="1" x14ac:dyDescent="0.25">
      <c r="A66">
        <v>3</v>
      </c>
      <c r="B66" t="s">
        <v>118</v>
      </c>
      <c r="C66">
        <v>620</v>
      </c>
      <c r="D66" t="s">
        <v>130</v>
      </c>
      <c r="E66" s="6">
        <v>99.88</v>
      </c>
    </row>
    <row r="67" spans="1:5" ht="15" customHeight="1" x14ac:dyDescent="0.25">
      <c r="A67">
        <v>3</v>
      </c>
      <c r="B67" t="s">
        <v>118</v>
      </c>
      <c r="C67">
        <v>626</v>
      </c>
      <c r="D67" t="s">
        <v>131</v>
      </c>
      <c r="E67" s="6">
        <v>55.63</v>
      </c>
    </row>
    <row r="68" spans="1:5" ht="15" customHeight="1" x14ac:dyDescent="0.25">
      <c r="A68">
        <v>3</v>
      </c>
      <c r="B68" t="s">
        <v>118</v>
      </c>
      <c r="C68">
        <v>627</v>
      </c>
      <c r="D68" t="s">
        <v>132</v>
      </c>
      <c r="E68" s="6">
        <v>62.91</v>
      </c>
    </row>
    <row r="69" spans="1:5" ht="15" customHeight="1" x14ac:dyDescent="0.25">
      <c r="A69">
        <v>3</v>
      </c>
      <c r="B69" t="s">
        <v>118</v>
      </c>
      <c r="C69">
        <v>651</v>
      </c>
      <c r="D69" t="s">
        <v>133</v>
      </c>
      <c r="E69" s="6">
        <v>60.92</v>
      </c>
    </row>
    <row r="70" spans="1:5" ht="15" customHeight="1" x14ac:dyDescent="0.25">
      <c r="A70">
        <v>3</v>
      </c>
      <c r="B70" t="s">
        <v>118</v>
      </c>
      <c r="C70">
        <v>668</v>
      </c>
      <c r="D70" t="s">
        <v>134</v>
      </c>
      <c r="E70" s="6">
        <v>55.3</v>
      </c>
    </row>
    <row r="71" spans="1:5" ht="15" customHeight="1" x14ac:dyDescent="0.25">
      <c r="A71">
        <v>3</v>
      </c>
      <c r="B71" t="s">
        <v>118</v>
      </c>
      <c r="C71">
        <v>681</v>
      </c>
      <c r="D71" t="s">
        <v>135</v>
      </c>
      <c r="E71" s="6">
        <v>60.18</v>
      </c>
    </row>
    <row r="72" spans="1:5" ht="15" customHeight="1" x14ac:dyDescent="0.25">
      <c r="A72">
        <v>3</v>
      </c>
      <c r="B72" t="s">
        <v>118</v>
      </c>
      <c r="C72">
        <v>682</v>
      </c>
      <c r="D72" t="s">
        <v>136</v>
      </c>
      <c r="E72" s="6">
        <v>58.54</v>
      </c>
    </row>
    <row r="73" spans="1:5" ht="15" customHeight="1" x14ac:dyDescent="0.25">
      <c r="A73">
        <v>3</v>
      </c>
      <c r="B73" t="s">
        <v>118</v>
      </c>
      <c r="C73">
        <v>683</v>
      </c>
      <c r="D73" t="s">
        <v>137</v>
      </c>
      <c r="E73" s="6">
        <v>58.97</v>
      </c>
    </row>
    <row r="74" spans="1:5" ht="15" customHeight="1" x14ac:dyDescent="0.25">
      <c r="A74">
        <v>3</v>
      </c>
      <c r="B74" t="s">
        <v>118</v>
      </c>
      <c r="C74">
        <v>684</v>
      </c>
      <c r="D74" t="s">
        <v>138</v>
      </c>
      <c r="E74" s="6">
        <v>57.5</v>
      </c>
    </row>
    <row r="75" spans="1:5" ht="15" customHeight="1" x14ac:dyDescent="0.25">
      <c r="A75">
        <v>3</v>
      </c>
      <c r="B75" t="s">
        <v>118</v>
      </c>
      <c r="C75">
        <v>685</v>
      </c>
      <c r="D75" t="s">
        <v>139</v>
      </c>
      <c r="E75" s="6">
        <v>58.87</v>
      </c>
    </row>
    <row r="76" spans="1:5" ht="15" customHeight="1" x14ac:dyDescent="0.25">
      <c r="A76">
        <v>3</v>
      </c>
      <c r="B76" t="s">
        <v>118</v>
      </c>
      <c r="C76">
        <v>691</v>
      </c>
      <c r="D76" t="s">
        <v>140</v>
      </c>
      <c r="E76" s="6">
        <v>59.71</v>
      </c>
    </row>
    <row r="77" spans="1:5" ht="15" customHeight="1" x14ac:dyDescent="0.25">
      <c r="A77">
        <v>3</v>
      </c>
      <c r="B77" t="s">
        <v>118</v>
      </c>
      <c r="C77">
        <v>706</v>
      </c>
      <c r="D77" t="s">
        <v>141</v>
      </c>
      <c r="E77" s="6">
        <v>60.5</v>
      </c>
    </row>
    <row r="78" spans="1:5" ht="15" customHeight="1" x14ac:dyDescent="0.25">
      <c r="A78">
        <v>3</v>
      </c>
      <c r="B78" t="s">
        <v>118</v>
      </c>
      <c r="C78">
        <v>713</v>
      </c>
      <c r="D78" t="s">
        <v>142</v>
      </c>
      <c r="E78" s="6">
        <v>56.92</v>
      </c>
    </row>
    <row r="79" spans="1:5" ht="15" customHeight="1" x14ac:dyDescent="0.25">
      <c r="A79">
        <v>3</v>
      </c>
      <c r="B79" t="s">
        <v>118</v>
      </c>
      <c r="C79">
        <v>718</v>
      </c>
      <c r="D79" t="s">
        <v>143</v>
      </c>
      <c r="E79" s="6">
        <v>60.48</v>
      </c>
    </row>
    <row r="80" spans="1:5" ht="15" customHeight="1" x14ac:dyDescent="0.25">
      <c r="A80">
        <v>3</v>
      </c>
      <c r="B80" t="s">
        <v>118</v>
      </c>
      <c r="C80">
        <v>731</v>
      </c>
      <c r="D80" t="s">
        <v>144</v>
      </c>
      <c r="E80" s="6">
        <v>28.17</v>
      </c>
    </row>
    <row r="81" spans="1:5" ht="15" customHeight="1" x14ac:dyDescent="0.25">
      <c r="A81">
        <v>3</v>
      </c>
      <c r="B81" t="s">
        <v>118</v>
      </c>
      <c r="C81">
        <v>743</v>
      </c>
      <c r="D81" t="s">
        <v>145</v>
      </c>
      <c r="E81" s="6">
        <v>56.79</v>
      </c>
    </row>
    <row r="82" spans="1:5" ht="15" customHeight="1" x14ac:dyDescent="0.25">
      <c r="A82">
        <v>3</v>
      </c>
      <c r="B82" t="s">
        <v>118</v>
      </c>
      <c r="C82">
        <v>760</v>
      </c>
      <c r="D82" t="s">
        <v>146</v>
      </c>
      <c r="E82" s="6">
        <v>58.98</v>
      </c>
    </row>
    <row r="83" spans="1:5" ht="15" customHeight="1" x14ac:dyDescent="0.25">
      <c r="A83">
        <v>3</v>
      </c>
      <c r="B83" t="s">
        <v>118</v>
      </c>
      <c r="C83">
        <v>765</v>
      </c>
      <c r="D83" t="s">
        <v>147</v>
      </c>
      <c r="E83" s="6">
        <v>54.67</v>
      </c>
    </row>
    <row r="84" spans="1:5" ht="15" customHeight="1" x14ac:dyDescent="0.25">
      <c r="A84">
        <v>3</v>
      </c>
      <c r="B84" t="s">
        <v>118</v>
      </c>
      <c r="C84">
        <v>766</v>
      </c>
      <c r="D84" t="s">
        <v>148</v>
      </c>
      <c r="E84" s="6">
        <v>59.65</v>
      </c>
    </row>
    <row r="85" spans="1:5" ht="15" customHeight="1" x14ac:dyDescent="0.25">
      <c r="A85">
        <v>3</v>
      </c>
      <c r="B85" t="s">
        <v>118</v>
      </c>
      <c r="C85">
        <v>767</v>
      </c>
      <c r="D85" t="s">
        <v>149</v>
      </c>
      <c r="E85" s="6">
        <v>64.77</v>
      </c>
    </row>
    <row r="86" spans="1:5" ht="15" customHeight="1" x14ac:dyDescent="0.25">
      <c r="A86">
        <v>3</v>
      </c>
      <c r="B86" t="s">
        <v>118</v>
      </c>
      <c r="C86">
        <v>795</v>
      </c>
      <c r="D86" t="s">
        <v>150</v>
      </c>
      <c r="E86" s="6">
        <v>58.45</v>
      </c>
    </row>
    <row r="87" spans="1:5" ht="15" customHeight="1" x14ac:dyDescent="0.25">
      <c r="A87">
        <v>3</v>
      </c>
      <c r="B87" t="s">
        <v>118</v>
      </c>
      <c r="C87">
        <v>798</v>
      </c>
      <c r="D87" t="s">
        <v>151</v>
      </c>
      <c r="E87" s="6">
        <v>59.41</v>
      </c>
    </row>
    <row r="88" spans="1:5" ht="15" customHeight="1" x14ac:dyDescent="0.25">
      <c r="A88">
        <v>3</v>
      </c>
      <c r="B88" t="s">
        <v>118</v>
      </c>
      <c r="C88">
        <v>799</v>
      </c>
      <c r="D88" t="s">
        <v>152</v>
      </c>
      <c r="E88" s="6">
        <v>55.5</v>
      </c>
    </row>
    <row r="89" spans="1:5" ht="15" customHeight="1" x14ac:dyDescent="0.25">
      <c r="A89">
        <v>3</v>
      </c>
      <c r="B89" t="s">
        <v>118</v>
      </c>
      <c r="C89">
        <v>811</v>
      </c>
      <c r="D89" t="s">
        <v>153</v>
      </c>
      <c r="E89" s="6">
        <v>59.51</v>
      </c>
    </row>
    <row r="90" spans="1:5" ht="15" customHeight="1" x14ac:dyDescent="0.25">
      <c r="A90">
        <v>3</v>
      </c>
      <c r="B90" t="s">
        <v>118</v>
      </c>
      <c r="C90">
        <v>820</v>
      </c>
      <c r="D90" t="s">
        <v>154</v>
      </c>
      <c r="E90" s="6">
        <v>58.83</v>
      </c>
    </row>
    <row r="91" spans="1:5" ht="15" customHeight="1" x14ac:dyDescent="0.25">
      <c r="A91">
        <v>3</v>
      </c>
      <c r="B91" t="s">
        <v>118</v>
      </c>
      <c r="C91">
        <v>830</v>
      </c>
      <c r="D91" t="s">
        <v>155</v>
      </c>
      <c r="E91" s="6">
        <v>59.29</v>
      </c>
    </row>
    <row r="92" spans="1:5" ht="15" customHeight="1" x14ac:dyDescent="0.25">
      <c r="A92">
        <v>3</v>
      </c>
      <c r="B92" t="s">
        <v>118</v>
      </c>
      <c r="C92">
        <v>831</v>
      </c>
      <c r="D92" t="s">
        <v>156</v>
      </c>
      <c r="E92" s="6">
        <v>51.29</v>
      </c>
    </row>
    <row r="93" spans="1:5" ht="15" customHeight="1" x14ac:dyDescent="0.25">
      <c r="A93">
        <v>3</v>
      </c>
      <c r="B93" t="s">
        <v>118</v>
      </c>
      <c r="C93">
        <v>832</v>
      </c>
      <c r="D93" t="s">
        <v>157</v>
      </c>
      <c r="E93" s="6">
        <v>58.51</v>
      </c>
    </row>
    <row r="94" spans="1:5" ht="15" customHeight="1" x14ac:dyDescent="0.25">
      <c r="A94">
        <v>3</v>
      </c>
      <c r="B94" t="s">
        <v>118</v>
      </c>
      <c r="C94">
        <v>833</v>
      </c>
      <c r="D94" t="s">
        <v>158</v>
      </c>
      <c r="E94" s="6">
        <v>57.46</v>
      </c>
    </row>
    <row r="95" spans="1:5" ht="15" customHeight="1" x14ac:dyDescent="0.25">
      <c r="A95">
        <v>3</v>
      </c>
      <c r="B95" t="s">
        <v>118</v>
      </c>
      <c r="C95">
        <v>840</v>
      </c>
      <c r="D95" t="s">
        <v>159</v>
      </c>
      <c r="E95" s="6">
        <v>57.8</v>
      </c>
    </row>
    <row r="96" spans="1:5" ht="15" customHeight="1" x14ac:dyDescent="0.25">
      <c r="A96">
        <v>3</v>
      </c>
      <c r="B96" t="s">
        <v>118</v>
      </c>
      <c r="C96">
        <v>841</v>
      </c>
      <c r="D96" t="s">
        <v>160</v>
      </c>
      <c r="E96" s="6">
        <v>59.83</v>
      </c>
    </row>
    <row r="97" spans="1:5" ht="15" customHeight="1" x14ac:dyDescent="0.25">
      <c r="A97">
        <v>3</v>
      </c>
      <c r="B97" t="s">
        <v>118</v>
      </c>
      <c r="C97">
        <v>842</v>
      </c>
      <c r="D97" t="s">
        <v>161</v>
      </c>
      <c r="E97" s="6">
        <v>56.77</v>
      </c>
    </row>
    <row r="98" spans="1:5" ht="15" customHeight="1" x14ac:dyDescent="0.25">
      <c r="A98">
        <v>3</v>
      </c>
      <c r="B98" t="s">
        <v>118</v>
      </c>
      <c r="C98">
        <v>847</v>
      </c>
      <c r="D98" t="s">
        <v>162</v>
      </c>
      <c r="E98" s="6">
        <v>60.26</v>
      </c>
    </row>
    <row r="99" spans="1:5" ht="15" customHeight="1" x14ac:dyDescent="0.25">
      <c r="A99">
        <v>3</v>
      </c>
      <c r="B99" t="s">
        <v>118</v>
      </c>
      <c r="C99">
        <v>877</v>
      </c>
      <c r="D99" t="s">
        <v>163</v>
      </c>
      <c r="E99" s="6">
        <v>37.68</v>
      </c>
    </row>
    <row r="100" spans="1:5" ht="15" customHeight="1" x14ac:dyDescent="0.25">
      <c r="A100">
        <v>3</v>
      </c>
      <c r="B100" t="s">
        <v>118</v>
      </c>
      <c r="C100">
        <v>898</v>
      </c>
      <c r="D100" t="s">
        <v>164</v>
      </c>
      <c r="E100" s="6">
        <v>54.38</v>
      </c>
    </row>
    <row r="101" spans="1:5" ht="15" customHeight="1" x14ac:dyDescent="0.25">
      <c r="A101">
        <v>3</v>
      </c>
      <c r="B101" t="s">
        <v>118</v>
      </c>
      <c r="C101">
        <v>899</v>
      </c>
      <c r="D101" t="s">
        <v>165</v>
      </c>
      <c r="E101" s="6">
        <v>58.62</v>
      </c>
    </row>
    <row r="102" spans="1:5" ht="15" customHeight="1" x14ac:dyDescent="0.25">
      <c r="A102">
        <v>3</v>
      </c>
      <c r="B102" t="s">
        <v>118</v>
      </c>
      <c r="C102">
        <v>1912</v>
      </c>
      <c r="D102" t="s">
        <v>166</v>
      </c>
      <c r="E102" s="6">
        <v>32.659999999999997</v>
      </c>
    </row>
    <row r="103" spans="1:5" ht="15" customHeight="1" x14ac:dyDescent="0.25">
      <c r="A103">
        <v>3</v>
      </c>
      <c r="B103" t="s">
        <v>118</v>
      </c>
      <c r="C103">
        <v>9999</v>
      </c>
      <c r="D103" t="s">
        <v>117</v>
      </c>
      <c r="E103" s="6">
        <v>58.48</v>
      </c>
    </row>
    <row r="104" spans="1:5" ht="15" customHeight="1" x14ac:dyDescent="0.25">
      <c r="A104">
        <v>5</v>
      </c>
      <c r="B104" t="s">
        <v>119</v>
      </c>
      <c r="C104">
        <v>1</v>
      </c>
      <c r="D104" t="s">
        <v>117</v>
      </c>
      <c r="E104" s="6">
        <v>105.86</v>
      </c>
    </row>
    <row r="105" spans="1:5" ht="15" customHeight="1" x14ac:dyDescent="0.25">
      <c r="A105">
        <v>5</v>
      </c>
      <c r="B105" t="s">
        <v>119</v>
      </c>
      <c r="C105">
        <v>3</v>
      </c>
      <c r="D105" t="s">
        <v>118</v>
      </c>
      <c r="E105" s="6">
        <v>47.84</v>
      </c>
    </row>
    <row r="106" spans="1:5" ht="15" customHeight="1" x14ac:dyDescent="0.25">
      <c r="A106">
        <v>5</v>
      </c>
      <c r="B106" t="s">
        <v>119</v>
      </c>
      <c r="C106">
        <v>5</v>
      </c>
      <c r="D106" t="s">
        <v>119</v>
      </c>
      <c r="E106" s="6">
        <v>0</v>
      </c>
    </row>
    <row r="107" spans="1:5" ht="15" customHeight="1" x14ac:dyDescent="0.25">
      <c r="A107">
        <v>5</v>
      </c>
      <c r="B107" t="s">
        <v>119</v>
      </c>
      <c r="C107">
        <v>11</v>
      </c>
      <c r="D107" t="s">
        <v>120</v>
      </c>
      <c r="E107" s="6">
        <v>60.28</v>
      </c>
    </row>
    <row r="108" spans="1:5" ht="15" customHeight="1" x14ac:dyDescent="0.25">
      <c r="A108">
        <v>5</v>
      </c>
      <c r="B108" t="s">
        <v>119</v>
      </c>
      <c r="C108">
        <v>12</v>
      </c>
      <c r="D108" t="s">
        <v>121</v>
      </c>
      <c r="E108" s="6">
        <v>85.1</v>
      </c>
    </row>
    <row r="109" spans="1:5" ht="15" customHeight="1" x14ac:dyDescent="0.25">
      <c r="A109">
        <v>5</v>
      </c>
      <c r="B109" t="s">
        <v>119</v>
      </c>
      <c r="C109">
        <v>29</v>
      </c>
      <c r="D109" t="s">
        <v>122</v>
      </c>
      <c r="E109" s="6">
        <v>214.12</v>
      </c>
    </row>
    <row r="110" spans="1:5" ht="15" customHeight="1" x14ac:dyDescent="0.25">
      <c r="A110">
        <v>5</v>
      </c>
      <c r="B110" t="s">
        <v>119</v>
      </c>
      <c r="C110">
        <v>70</v>
      </c>
      <c r="D110" t="s">
        <v>123</v>
      </c>
      <c r="E110" s="6">
        <v>123.71</v>
      </c>
    </row>
    <row r="111" spans="1:5" ht="15" customHeight="1" x14ac:dyDescent="0.25">
      <c r="A111">
        <v>5</v>
      </c>
      <c r="B111" t="s">
        <v>119</v>
      </c>
      <c r="C111">
        <v>71</v>
      </c>
      <c r="D111" t="s">
        <v>124</v>
      </c>
      <c r="E111" s="6">
        <v>202.45</v>
      </c>
    </row>
    <row r="112" spans="1:5" ht="15" customHeight="1" x14ac:dyDescent="0.25">
      <c r="A112">
        <v>5</v>
      </c>
      <c r="B112" t="s">
        <v>119</v>
      </c>
      <c r="C112">
        <v>384</v>
      </c>
      <c r="D112" t="s">
        <v>125</v>
      </c>
      <c r="E112" s="6">
        <v>106.72</v>
      </c>
    </row>
    <row r="113" spans="1:5" ht="15" customHeight="1" x14ac:dyDescent="0.25">
      <c r="A113">
        <v>5</v>
      </c>
      <c r="B113" t="s">
        <v>119</v>
      </c>
      <c r="C113">
        <v>429</v>
      </c>
      <c r="D113" t="s">
        <v>126</v>
      </c>
      <c r="E113" s="6">
        <v>154.16999999999999</v>
      </c>
    </row>
    <row r="114" spans="1:5" ht="15" customHeight="1" x14ac:dyDescent="0.25">
      <c r="A114">
        <v>5</v>
      </c>
      <c r="B114" t="s">
        <v>119</v>
      </c>
      <c r="C114">
        <v>486</v>
      </c>
      <c r="D114" t="s">
        <v>127</v>
      </c>
      <c r="E114" s="6">
        <v>68.78</v>
      </c>
    </row>
    <row r="115" spans="1:5" ht="15" customHeight="1" x14ac:dyDescent="0.25">
      <c r="A115">
        <v>5</v>
      </c>
      <c r="B115" t="s">
        <v>119</v>
      </c>
      <c r="C115">
        <v>546</v>
      </c>
      <c r="D115" t="s">
        <v>128</v>
      </c>
      <c r="E115" s="6">
        <v>36.020000000000003</v>
      </c>
    </row>
    <row r="116" spans="1:5" ht="15" customHeight="1" x14ac:dyDescent="0.25">
      <c r="A116">
        <v>5</v>
      </c>
      <c r="B116" t="s">
        <v>119</v>
      </c>
      <c r="C116">
        <v>599</v>
      </c>
      <c r="D116" t="s">
        <v>129</v>
      </c>
      <c r="E116" s="6">
        <v>100.9</v>
      </c>
    </row>
    <row r="117" spans="1:5" ht="15" customHeight="1" x14ac:dyDescent="0.25">
      <c r="A117">
        <v>5</v>
      </c>
      <c r="B117" t="s">
        <v>119</v>
      </c>
      <c r="C117">
        <v>620</v>
      </c>
      <c r="D117" t="s">
        <v>130</v>
      </c>
      <c r="E117" s="6">
        <v>146.94</v>
      </c>
    </row>
    <row r="118" spans="1:5" ht="15" customHeight="1" x14ac:dyDescent="0.25">
      <c r="A118">
        <v>5</v>
      </c>
      <c r="B118" t="s">
        <v>119</v>
      </c>
      <c r="C118">
        <v>626</v>
      </c>
      <c r="D118" t="s">
        <v>131</v>
      </c>
      <c r="E118" s="6">
        <v>103.17</v>
      </c>
    </row>
    <row r="119" spans="1:5" ht="15" customHeight="1" x14ac:dyDescent="0.25">
      <c r="A119">
        <v>5</v>
      </c>
      <c r="B119" t="s">
        <v>119</v>
      </c>
      <c r="C119">
        <v>627</v>
      </c>
      <c r="D119" t="s">
        <v>132</v>
      </c>
      <c r="E119" s="6">
        <v>110.07</v>
      </c>
    </row>
    <row r="120" spans="1:5" ht="15" customHeight="1" x14ac:dyDescent="0.25">
      <c r="A120">
        <v>5</v>
      </c>
      <c r="B120" t="s">
        <v>119</v>
      </c>
      <c r="C120">
        <v>651</v>
      </c>
      <c r="D120" t="s">
        <v>133</v>
      </c>
      <c r="E120" s="6">
        <v>108.33</v>
      </c>
    </row>
    <row r="121" spans="1:5" ht="15" customHeight="1" x14ac:dyDescent="0.25">
      <c r="A121">
        <v>5</v>
      </c>
      <c r="B121" t="s">
        <v>119</v>
      </c>
      <c r="C121">
        <v>668</v>
      </c>
      <c r="D121" t="s">
        <v>134</v>
      </c>
      <c r="E121" s="6">
        <v>102.64</v>
      </c>
    </row>
    <row r="122" spans="1:5" ht="15" customHeight="1" x14ac:dyDescent="0.25">
      <c r="A122">
        <v>5</v>
      </c>
      <c r="B122" t="s">
        <v>119</v>
      </c>
      <c r="C122">
        <v>681</v>
      </c>
      <c r="D122" t="s">
        <v>135</v>
      </c>
      <c r="E122" s="6">
        <v>107.76</v>
      </c>
    </row>
    <row r="123" spans="1:5" ht="15" customHeight="1" x14ac:dyDescent="0.25">
      <c r="A123">
        <v>5</v>
      </c>
      <c r="B123" t="s">
        <v>119</v>
      </c>
      <c r="C123">
        <v>682</v>
      </c>
      <c r="D123" t="s">
        <v>136</v>
      </c>
      <c r="E123" s="6">
        <v>105.86</v>
      </c>
    </row>
    <row r="124" spans="1:5" ht="15" customHeight="1" x14ac:dyDescent="0.25">
      <c r="A124">
        <v>5</v>
      </c>
      <c r="B124" t="s">
        <v>119</v>
      </c>
      <c r="C124">
        <v>683</v>
      </c>
      <c r="D124" t="s">
        <v>137</v>
      </c>
      <c r="E124" s="6">
        <v>106.34</v>
      </c>
    </row>
    <row r="125" spans="1:5" ht="15" customHeight="1" x14ac:dyDescent="0.25">
      <c r="A125">
        <v>5</v>
      </c>
      <c r="B125" t="s">
        <v>119</v>
      </c>
      <c r="C125">
        <v>684</v>
      </c>
      <c r="D125" t="s">
        <v>138</v>
      </c>
      <c r="E125" s="6">
        <v>104.96</v>
      </c>
    </row>
    <row r="126" spans="1:5" ht="15" customHeight="1" x14ac:dyDescent="0.25">
      <c r="A126">
        <v>5</v>
      </c>
      <c r="B126" t="s">
        <v>119</v>
      </c>
      <c r="C126">
        <v>685</v>
      </c>
      <c r="D126" t="s">
        <v>139</v>
      </c>
      <c r="E126" s="6">
        <v>106.39</v>
      </c>
    </row>
    <row r="127" spans="1:5" ht="15" customHeight="1" x14ac:dyDescent="0.25">
      <c r="A127">
        <v>5</v>
      </c>
      <c r="B127" t="s">
        <v>119</v>
      </c>
      <c r="C127">
        <v>691</v>
      </c>
      <c r="D127" t="s">
        <v>140</v>
      </c>
      <c r="E127" s="6">
        <v>107.3</v>
      </c>
    </row>
    <row r="128" spans="1:5" ht="15" customHeight="1" x14ac:dyDescent="0.25">
      <c r="A128">
        <v>5</v>
      </c>
      <c r="B128" t="s">
        <v>119</v>
      </c>
      <c r="C128">
        <v>706</v>
      </c>
      <c r="D128" t="s">
        <v>141</v>
      </c>
      <c r="E128" s="6">
        <v>107.89</v>
      </c>
    </row>
    <row r="129" spans="1:5" ht="15" customHeight="1" x14ac:dyDescent="0.25">
      <c r="A129">
        <v>5</v>
      </c>
      <c r="B129" t="s">
        <v>119</v>
      </c>
      <c r="C129">
        <v>713</v>
      </c>
      <c r="D129" t="s">
        <v>142</v>
      </c>
      <c r="E129" s="6">
        <v>104.24</v>
      </c>
    </row>
    <row r="130" spans="1:5" ht="15" customHeight="1" x14ac:dyDescent="0.25">
      <c r="A130">
        <v>5</v>
      </c>
      <c r="B130" t="s">
        <v>119</v>
      </c>
      <c r="C130">
        <v>718</v>
      </c>
      <c r="D130" t="s">
        <v>143</v>
      </c>
      <c r="E130" s="6">
        <v>107.65</v>
      </c>
    </row>
    <row r="131" spans="1:5" ht="15" customHeight="1" x14ac:dyDescent="0.25">
      <c r="A131">
        <v>5</v>
      </c>
      <c r="B131" t="s">
        <v>119</v>
      </c>
      <c r="C131">
        <v>731</v>
      </c>
      <c r="D131" t="s">
        <v>144</v>
      </c>
      <c r="E131" s="6">
        <v>75.84</v>
      </c>
    </row>
    <row r="132" spans="1:5" ht="15" customHeight="1" x14ac:dyDescent="0.25">
      <c r="A132">
        <v>5</v>
      </c>
      <c r="B132" t="s">
        <v>119</v>
      </c>
      <c r="C132">
        <v>743</v>
      </c>
      <c r="D132" t="s">
        <v>145</v>
      </c>
      <c r="E132" s="6">
        <v>104.56</v>
      </c>
    </row>
    <row r="133" spans="1:5" ht="15" customHeight="1" x14ac:dyDescent="0.25">
      <c r="A133">
        <v>5</v>
      </c>
      <c r="B133" t="s">
        <v>119</v>
      </c>
      <c r="C133">
        <v>760</v>
      </c>
      <c r="D133" t="s">
        <v>146</v>
      </c>
      <c r="E133" s="6">
        <v>106.54</v>
      </c>
    </row>
    <row r="134" spans="1:5" ht="15" customHeight="1" x14ac:dyDescent="0.25">
      <c r="A134">
        <v>5</v>
      </c>
      <c r="B134" t="s">
        <v>119</v>
      </c>
      <c r="C134">
        <v>765</v>
      </c>
      <c r="D134" t="s">
        <v>147</v>
      </c>
      <c r="E134" s="6">
        <v>102.23</v>
      </c>
    </row>
    <row r="135" spans="1:5" ht="15" customHeight="1" x14ac:dyDescent="0.25">
      <c r="A135">
        <v>5</v>
      </c>
      <c r="B135" t="s">
        <v>119</v>
      </c>
      <c r="C135">
        <v>766</v>
      </c>
      <c r="D135" t="s">
        <v>148</v>
      </c>
      <c r="E135" s="6">
        <v>106.92</v>
      </c>
    </row>
    <row r="136" spans="1:5" ht="15" customHeight="1" x14ac:dyDescent="0.25">
      <c r="A136">
        <v>5</v>
      </c>
      <c r="B136" t="s">
        <v>119</v>
      </c>
      <c r="C136">
        <v>767</v>
      </c>
      <c r="D136" t="s">
        <v>149</v>
      </c>
      <c r="E136" s="6">
        <v>112.12</v>
      </c>
    </row>
    <row r="137" spans="1:5" ht="15" customHeight="1" x14ac:dyDescent="0.25">
      <c r="A137">
        <v>5</v>
      </c>
      <c r="B137" t="s">
        <v>119</v>
      </c>
      <c r="C137">
        <v>795</v>
      </c>
      <c r="D137" t="s">
        <v>150</v>
      </c>
      <c r="E137" s="6">
        <v>105.94</v>
      </c>
    </row>
    <row r="138" spans="1:5" ht="15" customHeight="1" x14ac:dyDescent="0.25">
      <c r="A138">
        <v>5</v>
      </c>
      <c r="B138" t="s">
        <v>119</v>
      </c>
      <c r="C138">
        <v>798</v>
      </c>
      <c r="D138" t="s">
        <v>151</v>
      </c>
      <c r="E138" s="6">
        <v>107.08</v>
      </c>
    </row>
    <row r="139" spans="1:5" ht="15" customHeight="1" x14ac:dyDescent="0.25">
      <c r="A139">
        <v>5</v>
      </c>
      <c r="B139" t="s">
        <v>119</v>
      </c>
      <c r="C139">
        <v>799</v>
      </c>
      <c r="D139" t="s">
        <v>152</v>
      </c>
      <c r="E139" s="6">
        <v>102.98</v>
      </c>
    </row>
    <row r="140" spans="1:5" ht="15" customHeight="1" x14ac:dyDescent="0.25">
      <c r="A140">
        <v>5</v>
      </c>
      <c r="B140" t="s">
        <v>119</v>
      </c>
      <c r="C140">
        <v>811</v>
      </c>
      <c r="D140" t="s">
        <v>153</v>
      </c>
      <c r="E140" s="6">
        <v>106.29</v>
      </c>
    </row>
    <row r="141" spans="1:5" ht="15" customHeight="1" x14ac:dyDescent="0.25">
      <c r="A141">
        <v>5</v>
      </c>
      <c r="B141" t="s">
        <v>119</v>
      </c>
      <c r="C141">
        <v>820</v>
      </c>
      <c r="D141" t="s">
        <v>154</v>
      </c>
      <c r="E141" s="6">
        <v>106.44</v>
      </c>
    </row>
    <row r="142" spans="1:5" ht="15" customHeight="1" x14ac:dyDescent="0.25">
      <c r="A142">
        <v>5</v>
      </c>
      <c r="B142" t="s">
        <v>119</v>
      </c>
      <c r="C142">
        <v>830</v>
      </c>
      <c r="D142" t="s">
        <v>155</v>
      </c>
      <c r="E142" s="6">
        <v>106.92</v>
      </c>
    </row>
    <row r="143" spans="1:5" ht="15" customHeight="1" x14ac:dyDescent="0.25">
      <c r="A143">
        <v>5</v>
      </c>
      <c r="B143" t="s">
        <v>119</v>
      </c>
      <c r="C143">
        <v>831</v>
      </c>
      <c r="D143" t="s">
        <v>156</v>
      </c>
      <c r="E143" s="6">
        <v>98.54</v>
      </c>
    </row>
    <row r="144" spans="1:5" ht="15" customHeight="1" x14ac:dyDescent="0.25">
      <c r="A144">
        <v>5</v>
      </c>
      <c r="B144" t="s">
        <v>119</v>
      </c>
      <c r="C144">
        <v>832</v>
      </c>
      <c r="D144" t="s">
        <v>157</v>
      </c>
      <c r="E144" s="6">
        <v>106.14</v>
      </c>
    </row>
    <row r="145" spans="1:6" ht="15" customHeight="1" x14ac:dyDescent="0.25">
      <c r="A145">
        <v>5</v>
      </c>
      <c r="B145" t="s">
        <v>119</v>
      </c>
      <c r="C145">
        <v>833</v>
      </c>
      <c r="D145" t="s">
        <v>158</v>
      </c>
      <c r="E145" s="6">
        <v>104.98</v>
      </c>
    </row>
    <row r="146" spans="1:6" ht="15" customHeight="1" x14ac:dyDescent="0.25">
      <c r="A146">
        <v>5</v>
      </c>
      <c r="B146" t="s">
        <v>119</v>
      </c>
      <c r="C146">
        <v>840</v>
      </c>
      <c r="D146" t="s">
        <v>159</v>
      </c>
      <c r="E146" s="6">
        <v>105.53</v>
      </c>
    </row>
    <row r="147" spans="1:6" ht="15" customHeight="1" x14ac:dyDescent="0.25">
      <c r="A147">
        <v>5</v>
      </c>
      <c r="B147" t="s">
        <v>119</v>
      </c>
      <c r="C147">
        <v>841</v>
      </c>
      <c r="D147" t="s">
        <v>160</v>
      </c>
      <c r="E147" s="6">
        <v>107.32</v>
      </c>
    </row>
    <row r="148" spans="1:6" ht="15" customHeight="1" x14ac:dyDescent="0.25">
      <c r="A148">
        <v>5</v>
      </c>
      <c r="B148" t="s">
        <v>119</v>
      </c>
      <c r="C148">
        <v>842</v>
      </c>
      <c r="D148" t="s">
        <v>161</v>
      </c>
      <c r="E148" s="6">
        <v>103.87</v>
      </c>
    </row>
    <row r="149" spans="1:6" ht="15" customHeight="1" x14ac:dyDescent="0.25">
      <c r="A149">
        <v>5</v>
      </c>
      <c r="B149" t="s">
        <v>119</v>
      </c>
      <c r="C149">
        <v>847</v>
      </c>
      <c r="D149" t="s">
        <v>162</v>
      </c>
      <c r="E149" s="6">
        <v>107.73</v>
      </c>
    </row>
    <row r="150" spans="1:6" ht="15" customHeight="1" x14ac:dyDescent="0.25">
      <c r="A150">
        <v>5</v>
      </c>
      <c r="B150" t="s">
        <v>119</v>
      </c>
      <c r="C150">
        <v>877</v>
      </c>
      <c r="D150" t="s">
        <v>163</v>
      </c>
      <c r="E150" s="6">
        <v>85.31</v>
      </c>
    </row>
    <row r="151" spans="1:6" ht="15" customHeight="1" x14ac:dyDescent="0.25">
      <c r="A151">
        <v>5</v>
      </c>
      <c r="B151" t="s">
        <v>119</v>
      </c>
      <c r="C151">
        <v>898</v>
      </c>
      <c r="D151" t="s">
        <v>164</v>
      </c>
      <c r="E151" s="6">
        <v>101.79</v>
      </c>
    </row>
    <row r="152" spans="1:6" ht="15" customHeight="1" x14ac:dyDescent="0.25">
      <c r="A152">
        <v>5</v>
      </c>
      <c r="B152" t="s">
        <v>119</v>
      </c>
      <c r="C152">
        <v>899</v>
      </c>
      <c r="D152" t="s">
        <v>165</v>
      </c>
      <c r="E152" s="6">
        <v>105.59</v>
      </c>
    </row>
    <row r="153" spans="1:6" ht="15" customHeight="1" x14ac:dyDescent="0.25">
      <c r="A153">
        <v>5</v>
      </c>
      <c r="B153" t="s">
        <v>119</v>
      </c>
      <c r="C153">
        <v>1912</v>
      </c>
      <c r="D153" t="s">
        <v>166</v>
      </c>
      <c r="E153" s="6">
        <v>79.97</v>
      </c>
    </row>
    <row r="154" spans="1:6" ht="15" customHeight="1" x14ac:dyDescent="0.25">
      <c r="A154">
        <v>5</v>
      </c>
      <c r="B154" t="s">
        <v>119</v>
      </c>
      <c r="C154">
        <v>9999</v>
      </c>
      <c r="D154" t="s">
        <v>117</v>
      </c>
      <c r="E154" s="6">
        <v>105.86</v>
      </c>
    </row>
    <row r="155" spans="1:6" ht="15" customHeight="1" x14ac:dyDescent="0.25">
      <c r="A155">
        <v>11</v>
      </c>
      <c r="B155" t="s">
        <v>120</v>
      </c>
      <c r="C155">
        <v>1</v>
      </c>
      <c r="D155" t="s">
        <v>117</v>
      </c>
      <c r="E155" s="6">
        <v>85.52</v>
      </c>
    </row>
    <row r="156" spans="1:6" ht="15" customHeight="1" x14ac:dyDescent="0.25">
      <c r="A156">
        <v>11</v>
      </c>
      <c r="B156" t="s">
        <v>120</v>
      </c>
      <c r="C156">
        <v>3</v>
      </c>
      <c r="D156" t="s">
        <v>118</v>
      </c>
      <c r="E156" s="6">
        <v>45.42</v>
      </c>
    </row>
    <row r="157" spans="1:6" ht="15" customHeight="1" x14ac:dyDescent="0.25">
      <c r="A157">
        <v>11</v>
      </c>
      <c r="B157" t="s">
        <v>120</v>
      </c>
      <c r="C157">
        <v>5</v>
      </c>
      <c r="D157" t="s">
        <v>119</v>
      </c>
      <c r="E157" s="6">
        <v>60.28</v>
      </c>
      <c r="F157">
        <f>(E157/45)*60</f>
        <v>80.373333333333335</v>
      </c>
    </row>
    <row r="158" spans="1:6" ht="15" customHeight="1" x14ac:dyDescent="0.25">
      <c r="A158">
        <v>11</v>
      </c>
      <c r="B158" t="s">
        <v>120</v>
      </c>
      <c r="C158">
        <v>11</v>
      </c>
      <c r="D158" t="s">
        <v>120</v>
      </c>
      <c r="E158" s="6">
        <v>0</v>
      </c>
    </row>
    <row r="159" spans="1:6" ht="15" customHeight="1" x14ac:dyDescent="0.25">
      <c r="A159">
        <v>11</v>
      </c>
      <c r="B159" t="s">
        <v>120</v>
      </c>
      <c r="C159">
        <v>12</v>
      </c>
      <c r="D159" t="s">
        <v>121</v>
      </c>
      <c r="E159" s="6">
        <v>99.81</v>
      </c>
    </row>
    <row r="160" spans="1:6" ht="15" customHeight="1" x14ac:dyDescent="0.25">
      <c r="A160">
        <v>11</v>
      </c>
      <c r="B160" t="s">
        <v>120</v>
      </c>
      <c r="C160">
        <v>29</v>
      </c>
      <c r="D160" t="s">
        <v>122</v>
      </c>
      <c r="E160" s="6">
        <v>167.04</v>
      </c>
    </row>
    <row r="161" spans="1:6" ht="15" customHeight="1" x14ac:dyDescent="0.25">
      <c r="A161">
        <v>11</v>
      </c>
      <c r="B161" t="s">
        <v>120</v>
      </c>
      <c r="C161">
        <v>70</v>
      </c>
      <c r="D161" t="s">
        <v>123</v>
      </c>
      <c r="E161" s="6">
        <v>141.84</v>
      </c>
    </row>
    <row r="162" spans="1:6" ht="15" customHeight="1" x14ac:dyDescent="0.25">
      <c r="A162">
        <v>11</v>
      </c>
      <c r="B162" t="s">
        <v>120</v>
      </c>
      <c r="C162">
        <v>71</v>
      </c>
      <c r="D162" t="s">
        <v>124</v>
      </c>
      <c r="E162" s="6">
        <v>206.9</v>
      </c>
    </row>
    <row r="163" spans="1:6" ht="15" customHeight="1" x14ac:dyDescent="0.25">
      <c r="A163">
        <v>11</v>
      </c>
      <c r="B163" t="s">
        <v>120</v>
      </c>
      <c r="C163">
        <v>384</v>
      </c>
      <c r="D163" t="s">
        <v>125</v>
      </c>
      <c r="E163" s="6">
        <v>86.13</v>
      </c>
    </row>
    <row r="164" spans="1:6" ht="15" customHeight="1" x14ac:dyDescent="0.25">
      <c r="A164">
        <v>11</v>
      </c>
      <c r="B164" t="s">
        <v>120</v>
      </c>
      <c r="C164">
        <v>429</v>
      </c>
      <c r="D164" t="s">
        <v>126</v>
      </c>
      <c r="E164" s="6">
        <v>151.84</v>
      </c>
    </row>
    <row r="165" spans="1:6" ht="15" customHeight="1" x14ac:dyDescent="0.25">
      <c r="A165">
        <v>11</v>
      </c>
      <c r="B165" t="s">
        <v>120</v>
      </c>
      <c r="C165">
        <v>486</v>
      </c>
      <c r="D165" t="s">
        <v>127</v>
      </c>
      <c r="E165" s="6">
        <v>92.77</v>
      </c>
    </row>
    <row r="166" spans="1:6" ht="15" customHeight="1" x14ac:dyDescent="0.25">
      <c r="A166">
        <v>11</v>
      </c>
      <c r="B166" t="s">
        <v>120</v>
      </c>
      <c r="C166">
        <v>546</v>
      </c>
      <c r="D166" t="s">
        <v>128</v>
      </c>
      <c r="E166" s="6">
        <v>59.85</v>
      </c>
      <c r="F166">
        <f>(E166/45)*60</f>
        <v>79.800000000000011</v>
      </c>
    </row>
    <row r="167" spans="1:6" ht="15" customHeight="1" x14ac:dyDescent="0.25">
      <c r="A167">
        <v>11</v>
      </c>
      <c r="B167" t="s">
        <v>120</v>
      </c>
      <c r="C167">
        <v>599</v>
      </c>
      <c r="D167" t="s">
        <v>129</v>
      </c>
      <c r="E167" s="6">
        <v>82.37</v>
      </c>
    </row>
    <row r="168" spans="1:6" ht="15" customHeight="1" x14ac:dyDescent="0.25">
      <c r="A168">
        <v>11</v>
      </c>
      <c r="B168" t="s">
        <v>120</v>
      </c>
      <c r="C168">
        <v>620</v>
      </c>
      <c r="D168" t="s">
        <v>130</v>
      </c>
      <c r="E168" s="6">
        <v>124.3</v>
      </c>
    </row>
    <row r="169" spans="1:6" ht="15" customHeight="1" x14ac:dyDescent="0.25">
      <c r="A169">
        <v>11</v>
      </c>
      <c r="B169" t="s">
        <v>120</v>
      </c>
      <c r="C169">
        <v>626</v>
      </c>
      <c r="D169" t="s">
        <v>131</v>
      </c>
      <c r="E169" s="6">
        <v>82.04</v>
      </c>
    </row>
    <row r="170" spans="1:6" ht="15" customHeight="1" x14ac:dyDescent="0.25">
      <c r="A170">
        <v>11</v>
      </c>
      <c r="B170" t="s">
        <v>120</v>
      </c>
      <c r="C170">
        <v>627</v>
      </c>
      <c r="D170" t="s">
        <v>132</v>
      </c>
      <c r="E170" s="6">
        <v>90.5</v>
      </c>
    </row>
    <row r="171" spans="1:6" ht="15" customHeight="1" x14ac:dyDescent="0.25">
      <c r="A171">
        <v>11</v>
      </c>
      <c r="B171" t="s">
        <v>120</v>
      </c>
      <c r="C171">
        <v>651</v>
      </c>
      <c r="D171" t="s">
        <v>133</v>
      </c>
      <c r="E171" s="6">
        <v>87.4</v>
      </c>
    </row>
    <row r="172" spans="1:6" ht="15" customHeight="1" x14ac:dyDescent="0.25">
      <c r="A172">
        <v>11</v>
      </c>
      <c r="B172" t="s">
        <v>120</v>
      </c>
      <c r="C172">
        <v>668</v>
      </c>
      <c r="D172" t="s">
        <v>134</v>
      </c>
      <c r="E172" s="6">
        <v>83.08</v>
      </c>
    </row>
    <row r="173" spans="1:6" ht="15" customHeight="1" x14ac:dyDescent="0.25">
      <c r="A173">
        <v>11</v>
      </c>
      <c r="B173" t="s">
        <v>120</v>
      </c>
      <c r="C173">
        <v>681</v>
      </c>
      <c r="D173" t="s">
        <v>135</v>
      </c>
      <c r="E173" s="6">
        <v>85.59</v>
      </c>
    </row>
    <row r="174" spans="1:6" ht="15" customHeight="1" x14ac:dyDescent="0.25">
      <c r="A174">
        <v>11</v>
      </c>
      <c r="B174" t="s">
        <v>120</v>
      </c>
      <c r="C174">
        <v>682</v>
      </c>
      <c r="D174" t="s">
        <v>136</v>
      </c>
      <c r="E174" s="6">
        <v>85.91</v>
      </c>
    </row>
    <row r="175" spans="1:6" ht="15" customHeight="1" x14ac:dyDescent="0.25">
      <c r="A175">
        <v>11</v>
      </c>
      <c r="B175" t="s">
        <v>120</v>
      </c>
      <c r="C175">
        <v>683</v>
      </c>
      <c r="D175" t="s">
        <v>137</v>
      </c>
      <c r="E175" s="6">
        <v>86.04</v>
      </c>
    </row>
    <row r="176" spans="1:6" ht="15" customHeight="1" x14ac:dyDescent="0.25">
      <c r="A176">
        <v>11</v>
      </c>
      <c r="B176" t="s">
        <v>120</v>
      </c>
      <c r="C176">
        <v>684</v>
      </c>
      <c r="D176" t="s">
        <v>138</v>
      </c>
      <c r="E176" s="6">
        <v>84.21</v>
      </c>
    </row>
    <row r="177" spans="1:5" ht="15" customHeight="1" x14ac:dyDescent="0.25">
      <c r="A177">
        <v>11</v>
      </c>
      <c r="B177" t="s">
        <v>120</v>
      </c>
      <c r="C177">
        <v>685</v>
      </c>
      <c r="D177" t="s">
        <v>139</v>
      </c>
      <c r="E177" s="6">
        <v>84.96</v>
      </c>
    </row>
    <row r="178" spans="1:5" ht="15" customHeight="1" x14ac:dyDescent="0.25">
      <c r="A178">
        <v>11</v>
      </c>
      <c r="B178" t="s">
        <v>120</v>
      </c>
      <c r="C178">
        <v>691</v>
      </c>
      <c r="D178" t="s">
        <v>140</v>
      </c>
      <c r="E178" s="6">
        <v>85.1</v>
      </c>
    </row>
    <row r="179" spans="1:5" ht="15" customHeight="1" x14ac:dyDescent="0.25">
      <c r="A179">
        <v>11</v>
      </c>
      <c r="B179" t="s">
        <v>120</v>
      </c>
      <c r="C179">
        <v>706</v>
      </c>
      <c r="D179" t="s">
        <v>141</v>
      </c>
      <c r="E179" s="6">
        <v>87.14</v>
      </c>
    </row>
    <row r="180" spans="1:5" ht="15" customHeight="1" x14ac:dyDescent="0.25">
      <c r="A180">
        <v>11</v>
      </c>
      <c r="B180" t="s">
        <v>120</v>
      </c>
      <c r="C180">
        <v>713</v>
      </c>
      <c r="D180" t="s">
        <v>142</v>
      </c>
      <c r="E180" s="6">
        <v>84.54</v>
      </c>
    </row>
    <row r="181" spans="1:5" ht="15" customHeight="1" x14ac:dyDescent="0.25">
      <c r="A181">
        <v>11</v>
      </c>
      <c r="B181" t="s">
        <v>120</v>
      </c>
      <c r="C181">
        <v>718</v>
      </c>
      <c r="D181" t="s">
        <v>143</v>
      </c>
      <c r="E181" s="6">
        <v>88.38</v>
      </c>
    </row>
    <row r="182" spans="1:5" ht="15" customHeight="1" x14ac:dyDescent="0.25">
      <c r="A182">
        <v>11</v>
      </c>
      <c r="B182" t="s">
        <v>120</v>
      </c>
      <c r="C182">
        <v>731</v>
      </c>
      <c r="D182" t="s">
        <v>144</v>
      </c>
      <c r="E182" s="6">
        <v>60.18</v>
      </c>
    </row>
    <row r="183" spans="1:5" ht="15" customHeight="1" x14ac:dyDescent="0.25">
      <c r="A183">
        <v>11</v>
      </c>
      <c r="B183" t="s">
        <v>120</v>
      </c>
      <c r="C183">
        <v>743</v>
      </c>
      <c r="D183" t="s">
        <v>145</v>
      </c>
      <c r="E183" s="6">
        <v>76.06</v>
      </c>
    </row>
    <row r="184" spans="1:5" ht="15" customHeight="1" x14ac:dyDescent="0.25">
      <c r="A184">
        <v>11</v>
      </c>
      <c r="B184" t="s">
        <v>120</v>
      </c>
      <c r="C184">
        <v>760</v>
      </c>
      <c r="D184" t="s">
        <v>146</v>
      </c>
      <c r="E184" s="6">
        <v>84.74</v>
      </c>
    </row>
    <row r="185" spans="1:5" ht="15" customHeight="1" x14ac:dyDescent="0.25">
      <c r="A185">
        <v>11</v>
      </c>
      <c r="B185" t="s">
        <v>120</v>
      </c>
      <c r="C185">
        <v>765</v>
      </c>
      <c r="D185" t="s">
        <v>147</v>
      </c>
      <c r="E185" s="6">
        <v>81.12</v>
      </c>
    </row>
    <row r="186" spans="1:5" ht="15" customHeight="1" x14ac:dyDescent="0.25">
      <c r="A186">
        <v>11</v>
      </c>
      <c r="B186" t="s">
        <v>120</v>
      </c>
      <c r="C186">
        <v>766</v>
      </c>
      <c r="D186" t="s">
        <v>148</v>
      </c>
      <c r="E186" s="6">
        <v>87.2</v>
      </c>
    </row>
    <row r="187" spans="1:5" ht="15" customHeight="1" x14ac:dyDescent="0.25">
      <c r="A187">
        <v>11</v>
      </c>
      <c r="B187" t="s">
        <v>120</v>
      </c>
      <c r="C187">
        <v>767</v>
      </c>
      <c r="D187" t="s">
        <v>149</v>
      </c>
      <c r="E187" s="6">
        <v>91.1</v>
      </c>
    </row>
    <row r="188" spans="1:5" ht="15" customHeight="1" x14ac:dyDescent="0.25">
      <c r="A188">
        <v>11</v>
      </c>
      <c r="B188" t="s">
        <v>120</v>
      </c>
      <c r="C188">
        <v>795</v>
      </c>
      <c r="D188" t="s">
        <v>150</v>
      </c>
      <c r="E188" s="6">
        <v>84.81</v>
      </c>
    </row>
    <row r="189" spans="1:5" ht="15" customHeight="1" x14ac:dyDescent="0.25">
      <c r="A189">
        <v>11</v>
      </c>
      <c r="B189" t="s">
        <v>120</v>
      </c>
      <c r="C189">
        <v>798</v>
      </c>
      <c r="D189" t="s">
        <v>151</v>
      </c>
      <c r="E189" s="6">
        <v>84.05</v>
      </c>
    </row>
    <row r="190" spans="1:5" ht="15" customHeight="1" x14ac:dyDescent="0.25">
      <c r="A190">
        <v>11</v>
      </c>
      <c r="B190" t="s">
        <v>120</v>
      </c>
      <c r="C190">
        <v>799</v>
      </c>
      <c r="D190" t="s">
        <v>152</v>
      </c>
      <c r="E190" s="6">
        <v>82.39</v>
      </c>
    </row>
    <row r="191" spans="1:5" ht="15" customHeight="1" x14ac:dyDescent="0.25">
      <c r="A191">
        <v>11</v>
      </c>
      <c r="B191" t="s">
        <v>120</v>
      </c>
      <c r="C191">
        <v>811</v>
      </c>
      <c r="D191" t="s">
        <v>153</v>
      </c>
      <c r="E191" s="6">
        <v>89.13</v>
      </c>
    </row>
    <row r="192" spans="1:5" ht="15" customHeight="1" x14ac:dyDescent="0.25">
      <c r="A192">
        <v>11</v>
      </c>
      <c r="B192" t="s">
        <v>120</v>
      </c>
      <c r="C192">
        <v>820</v>
      </c>
      <c r="D192" t="s">
        <v>154</v>
      </c>
      <c r="E192" s="6">
        <v>84.13</v>
      </c>
    </row>
    <row r="193" spans="1:5" ht="15" customHeight="1" x14ac:dyDescent="0.25">
      <c r="A193">
        <v>11</v>
      </c>
      <c r="B193" t="s">
        <v>120</v>
      </c>
      <c r="C193">
        <v>830</v>
      </c>
      <c r="D193" t="s">
        <v>155</v>
      </c>
      <c r="E193" s="6">
        <v>84.4</v>
      </c>
    </row>
    <row r="194" spans="1:5" ht="15" customHeight="1" x14ac:dyDescent="0.25">
      <c r="A194">
        <v>11</v>
      </c>
      <c r="B194" t="s">
        <v>120</v>
      </c>
      <c r="C194">
        <v>831</v>
      </c>
      <c r="D194" t="s">
        <v>156</v>
      </c>
      <c r="E194" s="6">
        <v>80.27</v>
      </c>
    </row>
    <row r="195" spans="1:5" ht="15" customHeight="1" x14ac:dyDescent="0.25">
      <c r="A195">
        <v>11</v>
      </c>
      <c r="B195" t="s">
        <v>120</v>
      </c>
      <c r="C195">
        <v>832</v>
      </c>
      <c r="D195" t="s">
        <v>157</v>
      </c>
      <c r="E195" s="6">
        <v>83.73</v>
      </c>
    </row>
    <row r="196" spans="1:5" ht="15" customHeight="1" x14ac:dyDescent="0.25">
      <c r="A196">
        <v>11</v>
      </c>
      <c r="B196" t="s">
        <v>120</v>
      </c>
      <c r="C196">
        <v>833</v>
      </c>
      <c r="D196" t="s">
        <v>158</v>
      </c>
      <c r="E196" s="6">
        <v>83.77</v>
      </c>
    </row>
    <row r="197" spans="1:5" ht="15" customHeight="1" x14ac:dyDescent="0.25">
      <c r="A197">
        <v>11</v>
      </c>
      <c r="B197" t="s">
        <v>120</v>
      </c>
      <c r="C197">
        <v>840</v>
      </c>
      <c r="D197" t="s">
        <v>159</v>
      </c>
      <c r="E197" s="6">
        <v>82.02</v>
      </c>
    </row>
    <row r="198" spans="1:5" ht="15" customHeight="1" x14ac:dyDescent="0.25">
      <c r="A198">
        <v>11</v>
      </c>
      <c r="B198" t="s">
        <v>120</v>
      </c>
      <c r="C198">
        <v>841</v>
      </c>
      <c r="D198" t="s">
        <v>160</v>
      </c>
      <c r="E198" s="6">
        <v>85.98</v>
      </c>
    </row>
    <row r="199" spans="1:5" ht="15" customHeight="1" x14ac:dyDescent="0.25">
      <c r="A199">
        <v>11</v>
      </c>
      <c r="B199" t="s">
        <v>120</v>
      </c>
      <c r="C199">
        <v>842</v>
      </c>
      <c r="D199" t="s">
        <v>161</v>
      </c>
      <c r="E199" s="6">
        <v>85.5</v>
      </c>
    </row>
    <row r="200" spans="1:5" ht="15" customHeight="1" x14ac:dyDescent="0.25">
      <c r="A200">
        <v>11</v>
      </c>
      <c r="B200" t="s">
        <v>120</v>
      </c>
      <c r="C200">
        <v>847</v>
      </c>
      <c r="D200" t="s">
        <v>162</v>
      </c>
      <c r="E200" s="6">
        <v>86.49</v>
      </c>
    </row>
    <row r="201" spans="1:5" ht="15" customHeight="1" x14ac:dyDescent="0.25">
      <c r="A201">
        <v>11</v>
      </c>
      <c r="B201" t="s">
        <v>120</v>
      </c>
      <c r="C201">
        <v>877</v>
      </c>
      <c r="D201" t="s">
        <v>163</v>
      </c>
      <c r="E201" s="6">
        <v>67.19</v>
      </c>
    </row>
    <row r="202" spans="1:5" ht="15" customHeight="1" x14ac:dyDescent="0.25">
      <c r="A202">
        <v>11</v>
      </c>
      <c r="B202" t="s">
        <v>120</v>
      </c>
      <c r="C202">
        <v>898</v>
      </c>
      <c r="D202" t="s">
        <v>164</v>
      </c>
      <c r="E202" s="6">
        <v>81.900000000000006</v>
      </c>
    </row>
    <row r="203" spans="1:5" ht="15" customHeight="1" x14ac:dyDescent="0.25">
      <c r="A203">
        <v>11</v>
      </c>
      <c r="B203" t="s">
        <v>120</v>
      </c>
      <c r="C203">
        <v>899</v>
      </c>
      <c r="D203" t="s">
        <v>165</v>
      </c>
      <c r="E203" s="6">
        <v>87.69</v>
      </c>
    </row>
    <row r="204" spans="1:5" ht="15" customHeight="1" x14ac:dyDescent="0.25">
      <c r="A204">
        <v>11</v>
      </c>
      <c r="B204" t="s">
        <v>120</v>
      </c>
      <c r="C204">
        <v>1912</v>
      </c>
      <c r="D204" t="s">
        <v>166</v>
      </c>
      <c r="E204" s="6">
        <v>65.430000000000007</v>
      </c>
    </row>
    <row r="205" spans="1:5" ht="15" customHeight="1" x14ac:dyDescent="0.25">
      <c r="A205">
        <v>11</v>
      </c>
      <c r="B205" t="s">
        <v>120</v>
      </c>
      <c r="C205">
        <v>9999</v>
      </c>
      <c r="D205" t="s">
        <v>117</v>
      </c>
      <c r="E205" s="6">
        <v>85.52</v>
      </c>
    </row>
    <row r="206" spans="1:5" ht="15" customHeight="1" x14ac:dyDescent="0.25">
      <c r="A206">
        <v>12</v>
      </c>
      <c r="B206" t="s">
        <v>121</v>
      </c>
      <c r="C206">
        <v>1</v>
      </c>
      <c r="D206" t="s">
        <v>117</v>
      </c>
      <c r="E206" s="6">
        <v>54.85</v>
      </c>
    </row>
    <row r="207" spans="1:5" ht="15" customHeight="1" x14ac:dyDescent="0.25">
      <c r="A207">
        <v>12</v>
      </c>
      <c r="B207" t="s">
        <v>121</v>
      </c>
      <c r="C207">
        <v>3</v>
      </c>
      <c r="D207" t="s">
        <v>118</v>
      </c>
      <c r="E207" s="6">
        <v>54.94</v>
      </c>
    </row>
    <row r="208" spans="1:5" ht="15" customHeight="1" x14ac:dyDescent="0.25">
      <c r="A208">
        <v>12</v>
      </c>
      <c r="B208" t="s">
        <v>121</v>
      </c>
      <c r="C208">
        <v>5</v>
      </c>
      <c r="D208" t="s">
        <v>119</v>
      </c>
      <c r="E208" s="6">
        <v>85.1</v>
      </c>
    </row>
    <row r="209" spans="1:5" ht="15" customHeight="1" x14ac:dyDescent="0.25">
      <c r="A209">
        <v>12</v>
      </c>
      <c r="B209" t="s">
        <v>121</v>
      </c>
      <c r="C209">
        <v>11</v>
      </c>
      <c r="D209" t="s">
        <v>120</v>
      </c>
      <c r="E209" s="6">
        <v>99.81</v>
      </c>
    </row>
    <row r="210" spans="1:5" ht="15" customHeight="1" x14ac:dyDescent="0.25">
      <c r="A210">
        <v>12</v>
      </c>
      <c r="B210" t="s">
        <v>121</v>
      </c>
      <c r="C210">
        <v>12</v>
      </c>
      <c r="D210" t="s">
        <v>121</v>
      </c>
      <c r="E210" s="6">
        <v>0</v>
      </c>
    </row>
    <row r="211" spans="1:5" ht="15" customHeight="1" x14ac:dyDescent="0.25">
      <c r="A211">
        <v>12</v>
      </c>
      <c r="B211" t="s">
        <v>121</v>
      </c>
      <c r="C211">
        <v>29</v>
      </c>
      <c r="D211" t="s">
        <v>122</v>
      </c>
      <c r="E211" s="6">
        <v>174.5</v>
      </c>
    </row>
    <row r="212" spans="1:5" ht="15" customHeight="1" x14ac:dyDescent="0.25">
      <c r="A212">
        <v>12</v>
      </c>
      <c r="B212" t="s">
        <v>121</v>
      </c>
      <c r="C212">
        <v>70</v>
      </c>
      <c r="D212" t="s">
        <v>123</v>
      </c>
      <c r="E212" s="6">
        <v>42.29</v>
      </c>
    </row>
    <row r="213" spans="1:5" ht="15" customHeight="1" x14ac:dyDescent="0.25">
      <c r="A213">
        <v>12</v>
      </c>
      <c r="B213" t="s">
        <v>121</v>
      </c>
      <c r="C213">
        <v>71</v>
      </c>
      <c r="D213" t="s">
        <v>124</v>
      </c>
      <c r="E213" s="6">
        <v>117.36</v>
      </c>
    </row>
    <row r="214" spans="1:5" ht="15" customHeight="1" x14ac:dyDescent="0.25">
      <c r="A214">
        <v>12</v>
      </c>
      <c r="B214" t="s">
        <v>121</v>
      </c>
      <c r="C214">
        <v>384</v>
      </c>
      <c r="D214" t="s">
        <v>125</v>
      </c>
      <c r="E214" s="6">
        <v>55.5</v>
      </c>
    </row>
    <row r="215" spans="1:5" ht="15" customHeight="1" x14ac:dyDescent="0.25">
      <c r="A215">
        <v>12</v>
      </c>
      <c r="B215" t="s">
        <v>121</v>
      </c>
      <c r="C215">
        <v>429</v>
      </c>
      <c r="D215" t="s">
        <v>126</v>
      </c>
      <c r="E215" s="6">
        <v>71.08</v>
      </c>
    </row>
    <row r="216" spans="1:5" ht="15" customHeight="1" x14ac:dyDescent="0.25">
      <c r="A216">
        <v>12</v>
      </c>
      <c r="B216" t="s">
        <v>121</v>
      </c>
      <c r="C216">
        <v>486</v>
      </c>
      <c r="D216" t="s">
        <v>127</v>
      </c>
      <c r="E216" s="6">
        <v>18.670000000000002</v>
      </c>
    </row>
    <row r="217" spans="1:5" ht="15" customHeight="1" x14ac:dyDescent="0.25">
      <c r="A217">
        <v>12</v>
      </c>
      <c r="B217" t="s">
        <v>121</v>
      </c>
      <c r="C217">
        <v>546</v>
      </c>
      <c r="D217" t="s">
        <v>128</v>
      </c>
      <c r="E217" s="6">
        <v>50.65</v>
      </c>
    </row>
    <row r="218" spans="1:5" ht="15" customHeight="1" x14ac:dyDescent="0.25">
      <c r="A218">
        <v>12</v>
      </c>
      <c r="B218" t="s">
        <v>121</v>
      </c>
      <c r="C218">
        <v>599</v>
      </c>
      <c r="D218" t="s">
        <v>129</v>
      </c>
      <c r="E218" s="6">
        <v>50.79</v>
      </c>
    </row>
    <row r="219" spans="1:5" ht="15" customHeight="1" x14ac:dyDescent="0.25">
      <c r="A219">
        <v>12</v>
      </c>
      <c r="B219" t="s">
        <v>121</v>
      </c>
      <c r="C219">
        <v>620</v>
      </c>
      <c r="D219" t="s">
        <v>130</v>
      </c>
      <c r="E219" s="6">
        <v>82.63</v>
      </c>
    </row>
    <row r="220" spans="1:5" ht="15" customHeight="1" x14ac:dyDescent="0.25">
      <c r="A220">
        <v>12</v>
      </c>
      <c r="B220" t="s">
        <v>121</v>
      </c>
      <c r="C220">
        <v>626</v>
      </c>
      <c r="D220" t="s">
        <v>131</v>
      </c>
      <c r="E220" s="6">
        <v>55.08</v>
      </c>
    </row>
    <row r="221" spans="1:5" ht="15" customHeight="1" x14ac:dyDescent="0.25">
      <c r="A221">
        <v>12</v>
      </c>
      <c r="B221" t="s">
        <v>121</v>
      </c>
      <c r="C221">
        <v>627</v>
      </c>
      <c r="D221" t="s">
        <v>132</v>
      </c>
      <c r="E221" s="6">
        <v>55.4</v>
      </c>
    </row>
    <row r="222" spans="1:5" ht="15" customHeight="1" x14ac:dyDescent="0.25">
      <c r="A222">
        <v>12</v>
      </c>
      <c r="B222" t="s">
        <v>121</v>
      </c>
      <c r="C222">
        <v>651</v>
      </c>
      <c r="D222" t="s">
        <v>133</v>
      </c>
      <c r="E222" s="6">
        <v>56.6</v>
      </c>
    </row>
    <row r="223" spans="1:5" ht="15" customHeight="1" x14ac:dyDescent="0.25">
      <c r="A223">
        <v>12</v>
      </c>
      <c r="B223" t="s">
        <v>121</v>
      </c>
      <c r="C223">
        <v>668</v>
      </c>
      <c r="D223" t="s">
        <v>134</v>
      </c>
      <c r="E223" s="6">
        <v>52.71</v>
      </c>
    </row>
    <row r="224" spans="1:5" ht="15" customHeight="1" x14ac:dyDescent="0.25">
      <c r="A224">
        <v>12</v>
      </c>
      <c r="B224" t="s">
        <v>121</v>
      </c>
      <c r="C224">
        <v>681</v>
      </c>
      <c r="D224" t="s">
        <v>135</v>
      </c>
      <c r="E224" s="6">
        <v>58.1</v>
      </c>
    </row>
    <row r="225" spans="1:5" ht="15" customHeight="1" x14ac:dyDescent="0.25">
      <c r="A225">
        <v>12</v>
      </c>
      <c r="B225" t="s">
        <v>121</v>
      </c>
      <c r="C225">
        <v>682</v>
      </c>
      <c r="D225" t="s">
        <v>136</v>
      </c>
      <c r="E225" s="6">
        <v>54.31</v>
      </c>
    </row>
    <row r="226" spans="1:5" ht="15" customHeight="1" x14ac:dyDescent="0.25">
      <c r="A226">
        <v>12</v>
      </c>
      <c r="B226" t="s">
        <v>121</v>
      </c>
      <c r="C226">
        <v>683</v>
      </c>
      <c r="D226" t="s">
        <v>137</v>
      </c>
      <c r="E226" s="6">
        <v>54.96</v>
      </c>
    </row>
    <row r="227" spans="1:5" ht="15" customHeight="1" x14ac:dyDescent="0.25">
      <c r="A227">
        <v>12</v>
      </c>
      <c r="B227" t="s">
        <v>121</v>
      </c>
      <c r="C227">
        <v>684</v>
      </c>
      <c r="D227" t="s">
        <v>138</v>
      </c>
      <c r="E227" s="6">
        <v>55.12</v>
      </c>
    </row>
    <row r="228" spans="1:5" ht="15" customHeight="1" x14ac:dyDescent="0.25">
      <c r="A228">
        <v>12</v>
      </c>
      <c r="B228" t="s">
        <v>121</v>
      </c>
      <c r="C228">
        <v>685</v>
      </c>
      <c r="D228" t="s">
        <v>139</v>
      </c>
      <c r="E228" s="6">
        <v>56.57</v>
      </c>
    </row>
    <row r="229" spans="1:5" ht="15" customHeight="1" x14ac:dyDescent="0.25">
      <c r="A229">
        <v>12</v>
      </c>
      <c r="B229" t="s">
        <v>121</v>
      </c>
      <c r="C229">
        <v>691</v>
      </c>
      <c r="D229" t="s">
        <v>140</v>
      </c>
      <c r="E229" s="6">
        <v>57.99</v>
      </c>
    </row>
    <row r="230" spans="1:5" ht="15" customHeight="1" x14ac:dyDescent="0.25">
      <c r="A230">
        <v>12</v>
      </c>
      <c r="B230" t="s">
        <v>121</v>
      </c>
      <c r="C230">
        <v>706</v>
      </c>
      <c r="D230" t="s">
        <v>141</v>
      </c>
      <c r="E230" s="6">
        <v>56.17</v>
      </c>
    </row>
    <row r="231" spans="1:5" ht="15" customHeight="1" x14ac:dyDescent="0.25">
      <c r="A231">
        <v>12</v>
      </c>
      <c r="B231" t="s">
        <v>121</v>
      </c>
      <c r="C231">
        <v>713</v>
      </c>
      <c r="D231" t="s">
        <v>142</v>
      </c>
      <c r="E231" s="6">
        <v>53.41</v>
      </c>
    </row>
    <row r="232" spans="1:5" ht="15" customHeight="1" x14ac:dyDescent="0.25">
      <c r="A232">
        <v>12</v>
      </c>
      <c r="B232" t="s">
        <v>121</v>
      </c>
      <c r="C232">
        <v>718</v>
      </c>
      <c r="D232" t="s">
        <v>143</v>
      </c>
      <c r="E232" s="6">
        <v>54.01</v>
      </c>
    </row>
    <row r="233" spans="1:5" ht="15" customHeight="1" x14ac:dyDescent="0.25">
      <c r="A233">
        <v>12</v>
      </c>
      <c r="B233" t="s">
        <v>121</v>
      </c>
      <c r="C233">
        <v>731</v>
      </c>
      <c r="D233" t="s">
        <v>144</v>
      </c>
      <c r="E233" s="6">
        <v>47.84</v>
      </c>
    </row>
    <row r="234" spans="1:5" ht="15" customHeight="1" x14ac:dyDescent="0.25">
      <c r="A234">
        <v>12</v>
      </c>
      <c r="B234" t="s">
        <v>121</v>
      </c>
      <c r="C234">
        <v>743</v>
      </c>
      <c r="D234" t="s">
        <v>145</v>
      </c>
      <c r="E234" s="6">
        <v>65.989999999999995</v>
      </c>
    </row>
    <row r="235" spans="1:5" ht="15" customHeight="1" x14ac:dyDescent="0.25">
      <c r="A235">
        <v>12</v>
      </c>
      <c r="B235" t="s">
        <v>121</v>
      </c>
      <c r="C235">
        <v>760</v>
      </c>
      <c r="D235" t="s">
        <v>146</v>
      </c>
      <c r="E235" s="6">
        <v>57.15</v>
      </c>
    </row>
    <row r="236" spans="1:5" ht="15" customHeight="1" x14ac:dyDescent="0.25">
      <c r="A236">
        <v>12</v>
      </c>
      <c r="B236" t="s">
        <v>121</v>
      </c>
      <c r="C236">
        <v>765</v>
      </c>
      <c r="D236" t="s">
        <v>147</v>
      </c>
      <c r="E236" s="6">
        <v>54.78</v>
      </c>
    </row>
    <row r="237" spans="1:5" ht="15" customHeight="1" x14ac:dyDescent="0.25">
      <c r="A237">
        <v>12</v>
      </c>
      <c r="B237" t="s">
        <v>121</v>
      </c>
      <c r="C237">
        <v>766</v>
      </c>
      <c r="D237" t="s">
        <v>148</v>
      </c>
      <c r="E237" s="6">
        <v>54.36</v>
      </c>
    </row>
    <row r="238" spans="1:5" ht="15" customHeight="1" x14ac:dyDescent="0.25">
      <c r="A238">
        <v>12</v>
      </c>
      <c r="B238" t="s">
        <v>121</v>
      </c>
      <c r="C238">
        <v>767</v>
      </c>
      <c r="D238" t="s">
        <v>149</v>
      </c>
      <c r="E238" s="6">
        <v>58.3</v>
      </c>
    </row>
    <row r="239" spans="1:5" ht="15" customHeight="1" x14ac:dyDescent="0.25">
      <c r="A239">
        <v>12</v>
      </c>
      <c r="B239" t="s">
        <v>121</v>
      </c>
      <c r="C239">
        <v>795</v>
      </c>
      <c r="D239" t="s">
        <v>150</v>
      </c>
      <c r="E239" s="6">
        <v>55.99</v>
      </c>
    </row>
    <row r="240" spans="1:5" ht="15" customHeight="1" x14ac:dyDescent="0.25">
      <c r="A240">
        <v>12</v>
      </c>
      <c r="B240" t="s">
        <v>121</v>
      </c>
      <c r="C240">
        <v>798</v>
      </c>
      <c r="D240" t="s">
        <v>151</v>
      </c>
      <c r="E240" s="6">
        <v>59.07</v>
      </c>
    </row>
    <row r="241" spans="1:5" ht="15" customHeight="1" x14ac:dyDescent="0.25">
      <c r="A241">
        <v>12</v>
      </c>
      <c r="B241" t="s">
        <v>121</v>
      </c>
      <c r="C241">
        <v>799</v>
      </c>
      <c r="D241" t="s">
        <v>152</v>
      </c>
      <c r="E241" s="6">
        <v>54.27</v>
      </c>
    </row>
    <row r="242" spans="1:5" ht="15" customHeight="1" x14ac:dyDescent="0.25">
      <c r="A242">
        <v>12</v>
      </c>
      <c r="B242" t="s">
        <v>121</v>
      </c>
      <c r="C242">
        <v>811</v>
      </c>
      <c r="D242" t="s">
        <v>153</v>
      </c>
      <c r="E242" s="6">
        <v>50.56</v>
      </c>
    </row>
    <row r="243" spans="1:5" ht="15" customHeight="1" x14ac:dyDescent="0.25">
      <c r="A243">
        <v>12</v>
      </c>
      <c r="B243" t="s">
        <v>121</v>
      </c>
      <c r="C243">
        <v>820</v>
      </c>
      <c r="D243" t="s">
        <v>154</v>
      </c>
      <c r="E243" s="6">
        <v>57.84</v>
      </c>
    </row>
    <row r="244" spans="1:5" ht="15" customHeight="1" x14ac:dyDescent="0.25">
      <c r="A244">
        <v>12</v>
      </c>
      <c r="B244" t="s">
        <v>121</v>
      </c>
      <c r="C244">
        <v>830</v>
      </c>
      <c r="D244" t="s">
        <v>155</v>
      </c>
      <c r="E244" s="6">
        <v>58.28</v>
      </c>
    </row>
    <row r="245" spans="1:5" ht="15" customHeight="1" x14ac:dyDescent="0.25">
      <c r="A245">
        <v>12</v>
      </c>
      <c r="B245" t="s">
        <v>121</v>
      </c>
      <c r="C245">
        <v>831</v>
      </c>
      <c r="D245" t="s">
        <v>156</v>
      </c>
      <c r="E245" s="6">
        <v>49.86</v>
      </c>
    </row>
    <row r="246" spans="1:5" ht="15" customHeight="1" x14ac:dyDescent="0.25">
      <c r="A246">
        <v>12</v>
      </c>
      <c r="B246" t="s">
        <v>121</v>
      </c>
      <c r="C246">
        <v>832</v>
      </c>
      <c r="D246" t="s">
        <v>157</v>
      </c>
      <c r="E246" s="6">
        <v>57.85</v>
      </c>
    </row>
    <row r="247" spans="1:5" ht="15" customHeight="1" x14ac:dyDescent="0.25">
      <c r="A247">
        <v>12</v>
      </c>
      <c r="B247" t="s">
        <v>121</v>
      </c>
      <c r="C247">
        <v>833</v>
      </c>
      <c r="D247" t="s">
        <v>158</v>
      </c>
      <c r="E247" s="6">
        <v>55.77</v>
      </c>
    </row>
    <row r="248" spans="1:5" ht="15" customHeight="1" x14ac:dyDescent="0.25">
      <c r="A248">
        <v>12</v>
      </c>
      <c r="B248" t="s">
        <v>121</v>
      </c>
      <c r="C248">
        <v>840</v>
      </c>
      <c r="D248" t="s">
        <v>159</v>
      </c>
      <c r="E248" s="6">
        <v>59.2</v>
      </c>
    </row>
    <row r="249" spans="1:5" ht="15" customHeight="1" x14ac:dyDescent="0.25">
      <c r="A249">
        <v>12</v>
      </c>
      <c r="B249" t="s">
        <v>121</v>
      </c>
      <c r="C249">
        <v>841</v>
      </c>
      <c r="D249" t="s">
        <v>160</v>
      </c>
      <c r="E249" s="6">
        <v>56.78</v>
      </c>
    </row>
    <row r="250" spans="1:5" ht="15" customHeight="1" x14ac:dyDescent="0.25">
      <c r="A250">
        <v>12</v>
      </c>
      <c r="B250" t="s">
        <v>121</v>
      </c>
      <c r="C250">
        <v>842</v>
      </c>
      <c r="D250" t="s">
        <v>161</v>
      </c>
      <c r="E250" s="6">
        <v>51.41</v>
      </c>
    </row>
    <row r="251" spans="1:5" ht="15" customHeight="1" x14ac:dyDescent="0.25">
      <c r="A251">
        <v>12</v>
      </c>
      <c r="B251" t="s">
        <v>121</v>
      </c>
      <c r="C251">
        <v>847</v>
      </c>
      <c r="D251" t="s">
        <v>162</v>
      </c>
      <c r="E251" s="6">
        <v>56.8</v>
      </c>
    </row>
    <row r="252" spans="1:5" ht="15" customHeight="1" x14ac:dyDescent="0.25">
      <c r="A252">
        <v>12</v>
      </c>
      <c r="B252" t="s">
        <v>121</v>
      </c>
      <c r="C252">
        <v>877</v>
      </c>
      <c r="D252" t="s">
        <v>163</v>
      </c>
      <c r="E252" s="6">
        <v>48.89</v>
      </c>
    </row>
    <row r="253" spans="1:5" ht="15" customHeight="1" x14ac:dyDescent="0.25">
      <c r="A253">
        <v>12</v>
      </c>
      <c r="B253" t="s">
        <v>121</v>
      </c>
      <c r="C253">
        <v>898</v>
      </c>
      <c r="D253" t="s">
        <v>164</v>
      </c>
      <c r="E253" s="6">
        <v>52.94</v>
      </c>
    </row>
    <row r="254" spans="1:5" ht="15" customHeight="1" x14ac:dyDescent="0.25">
      <c r="A254">
        <v>12</v>
      </c>
      <c r="B254" t="s">
        <v>121</v>
      </c>
      <c r="C254">
        <v>899</v>
      </c>
      <c r="D254" t="s">
        <v>165</v>
      </c>
      <c r="E254" s="6">
        <v>51.33</v>
      </c>
    </row>
    <row r="255" spans="1:5" ht="15" customHeight="1" x14ac:dyDescent="0.25">
      <c r="A255">
        <v>12</v>
      </c>
      <c r="B255" t="s">
        <v>121</v>
      </c>
      <c r="C255">
        <v>1912</v>
      </c>
      <c r="D255" t="s">
        <v>166</v>
      </c>
      <c r="E255" s="6">
        <v>45.05</v>
      </c>
    </row>
    <row r="256" spans="1:5" ht="15" customHeight="1" x14ac:dyDescent="0.25">
      <c r="A256">
        <v>12</v>
      </c>
      <c r="B256" t="s">
        <v>121</v>
      </c>
      <c r="C256">
        <v>9999</v>
      </c>
      <c r="D256" t="s">
        <v>117</v>
      </c>
      <c r="E256" s="6">
        <v>54.85</v>
      </c>
    </row>
    <row r="257" spans="1:5" ht="15" customHeight="1" x14ac:dyDescent="0.25">
      <c r="A257">
        <v>29</v>
      </c>
      <c r="B257" t="s">
        <v>122</v>
      </c>
      <c r="C257">
        <v>1</v>
      </c>
      <c r="D257" t="s">
        <v>117</v>
      </c>
      <c r="E257" s="6">
        <v>120.87</v>
      </c>
    </row>
    <row r="258" spans="1:5" ht="15" customHeight="1" x14ac:dyDescent="0.25">
      <c r="A258">
        <v>29</v>
      </c>
      <c r="B258" t="s">
        <v>122</v>
      </c>
      <c r="C258">
        <v>3</v>
      </c>
      <c r="D258" t="s">
        <v>118</v>
      </c>
      <c r="E258" s="6">
        <v>168.29</v>
      </c>
    </row>
    <row r="259" spans="1:5" ht="15" customHeight="1" x14ac:dyDescent="0.25">
      <c r="A259">
        <v>29</v>
      </c>
      <c r="B259" t="s">
        <v>122</v>
      </c>
      <c r="C259">
        <v>5</v>
      </c>
      <c r="D259" t="s">
        <v>119</v>
      </c>
      <c r="E259" s="6">
        <v>214.12</v>
      </c>
    </row>
    <row r="260" spans="1:5" ht="15" customHeight="1" x14ac:dyDescent="0.25">
      <c r="A260">
        <v>29</v>
      </c>
      <c r="B260" t="s">
        <v>122</v>
      </c>
      <c r="C260">
        <v>11</v>
      </c>
      <c r="D260" t="s">
        <v>120</v>
      </c>
      <c r="E260" s="6">
        <v>167.04</v>
      </c>
    </row>
    <row r="261" spans="1:5" ht="15" customHeight="1" x14ac:dyDescent="0.25">
      <c r="A261">
        <v>29</v>
      </c>
      <c r="B261" t="s">
        <v>122</v>
      </c>
      <c r="C261">
        <v>12</v>
      </c>
      <c r="D261" t="s">
        <v>121</v>
      </c>
      <c r="E261" s="6">
        <v>174.5</v>
      </c>
    </row>
    <row r="262" spans="1:5" ht="15" customHeight="1" x14ac:dyDescent="0.25">
      <c r="A262">
        <v>29</v>
      </c>
      <c r="B262" t="s">
        <v>122</v>
      </c>
      <c r="C262">
        <v>29</v>
      </c>
      <c r="D262" t="s">
        <v>122</v>
      </c>
      <c r="E262" s="6">
        <v>0</v>
      </c>
    </row>
    <row r="263" spans="1:5" ht="15" customHeight="1" x14ac:dyDescent="0.25">
      <c r="A263">
        <v>29</v>
      </c>
      <c r="B263" t="s">
        <v>122</v>
      </c>
      <c r="C263">
        <v>70</v>
      </c>
      <c r="D263" t="s">
        <v>123</v>
      </c>
      <c r="E263" s="6">
        <v>188.86</v>
      </c>
    </row>
    <row r="264" spans="1:5" ht="15" customHeight="1" x14ac:dyDescent="0.25">
      <c r="A264">
        <v>29</v>
      </c>
      <c r="B264" t="s">
        <v>122</v>
      </c>
      <c r="C264">
        <v>71</v>
      </c>
      <c r="D264" t="s">
        <v>124</v>
      </c>
      <c r="E264" s="6">
        <v>184.37</v>
      </c>
    </row>
    <row r="265" spans="1:5" ht="15" customHeight="1" x14ac:dyDescent="0.25">
      <c r="A265">
        <v>29</v>
      </c>
      <c r="B265" t="s">
        <v>122</v>
      </c>
      <c r="C265">
        <v>384</v>
      </c>
      <c r="D265" t="s">
        <v>125</v>
      </c>
      <c r="E265" s="6">
        <v>120.1</v>
      </c>
    </row>
    <row r="266" spans="1:5" ht="15" customHeight="1" x14ac:dyDescent="0.25">
      <c r="A266">
        <v>29</v>
      </c>
      <c r="B266" t="s">
        <v>122</v>
      </c>
      <c r="C266">
        <v>429</v>
      </c>
      <c r="D266" t="s">
        <v>126</v>
      </c>
      <c r="E266" s="6">
        <v>146.54</v>
      </c>
    </row>
    <row r="267" spans="1:5" ht="15" customHeight="1" x14ac:dyDescent="0.25">
      <c r="A267">
        <v>29</v>
      </c>
      <c r="B267" t="s">
        <v>122</v>
      </c>
      <c r="C267">
        <v>486</v>
      </c>
      <c r="D267" t="s">
        <v>127</v>
      </c>
      <c r="E267" s="6">
        <v>187.45</v>
      </c>
    </row>
    <row r="268" spans="1:5" ht="15" customHeight="1" x14ac:dyDescent="0.25">
      <c r="A268">
        <v>29</v>
      </c>
      <c r="B268" t="s">
        <v>122</v>
      </c>
      <c r="C268">
        <v>546</v>
      </c>
      <c r="D268" t="s">
        <v>128</v>
      </c>
      <c r="E268" s="6">
        <v>187.33</v>
      </c>
    </row>
    <row r="269" spans="1:5" ht="15" customHeight="1" x14ac:dyDescent="0.25">
      <c r="A269">
        <v>29</v>
      </c>
      <c r="B269" t="s">
        <v>122</v>
      </c>
      <c r="C269">
        <v>599</v>
      </c>
      <c r="D269" t="s">
        <v>129</v>
      </c>
      <c r="E269" s="6">
        <v>125.68</v>
      </c>
    </row>
    <row r="270" spans="1:5" ht="15" customHeight="1" x14ac:dyDescent="0.25">
      <c r="A270">
        <v>29</v>
      </c>
      <c r="B270" t="s">
        <v>122</v>
      </c>
      <c r="C270">
        <v>620</v>
      </c>
      <c r="D270" t="s">
        <v>130</v>
      </c>
      <c r="E270" s="6">
        <v>98.04</v>
      </c>
    </row>
    <row r="271" spans="1:5" ht="15" customHeight="1" x14ac:dyDescent="0.25">
      <c r="A271">
        <v>29</v>
      </c>
      <c r="B271" t="s">
        <v>122</v>
      </c>
      <c r="C271">
        <v>626</v>
      </c>
      <c r="D271" t="s">
        <v>131</v>
      </c>
      <c r="E271" s="6">
        <v>121.67</v>
      </c>
    </row>
    <row r="272" spans="1:5" ht="15" customHeight="1" x14ac:dyDescent="0.25">
      <c r="A272">
        <v>29</v>
      </c>
      <c r="B272" t="s">
        <v>122</v>
      </c>
      <c r="C272">
        <v>627</v>
      </c>
      <c r="D272" t="s">
        <v>132</v>
      </c>
      <c r="E272" s="6">
        <v>119.39</v>
      </c>
    </row>
    <row r="273" spans="1:5" ht="15" customHeight="1" x14ac:dyDescent="0.25">
      <c r="A273">
        <v>29</v>
      </c>
      <c r="B273" t="s">
        <v>122</v>
      </c>
      <c r="C273">
        <v>651</v>
      </c>
      <c r="D273" t="s">
        <v>133</v>
      </c>
      <c r="E273" s="6">
        <v>118.76</v>
      </c>
    </row>
    <row r="274" spans="1:5" ht="15" customHeight="1" x14ac:dyDescent="0.25">
      <c r="A274">
        <v>29</v>
      </c>
      <c r="B274" t="s">
        <v>122</v>
      </c>
      <c r="C274">
        <v>668</v>
      </c>
      <c r="D274" t="s">
        <v>134</v>
      </c>
      <c r="E274" s="6">
        <v>123.61</v>
      </c>
    </row>
    <row r="275" spans="1:5" ht="15" customHeight="1" x14ac:dyDescent="0.25">
      <c r="A275">
        <v>29</v>
      </c>
      <c r="B275" t="s">
        <v>122</v>
      </c>
      <c r="C275">
        <v>681</v>
      </c>
      <c r="D275" t="s">
        <v>135</v>
      </c>
      <c r="E275" s="6">
        <v>117.75</v>
      </c>
    </row>
    <row r="276" spans="1:5" ht="15" customHeight="1" x14ac:dyDescent="0.25">
      <c r="A276">
        <v>29</v>
      </c>
      <c r="B276" t="s">
        <v>122</v>
      </c>
      <c r="C276">
        <v>682</v>
      </c>
      <c r="D276" t="s">
        <v>136</v>
      </c>
      <c r="E276" s="6">
        <v>121.29</v>
      </c>
    </row>
    <row r="277" spans="1:5" ht="15" customHeight="1" x14ac:dyDescent="0.25">
      <c r="A277">
        <v>29</v>
      </c>
      <c r="B277" t="s">
        <v>122</v>
      </c>
      <c r="C277">
        <v>683</v>
      </c>
      <c r="D277" t="s">
        <v>137</v>
      </c>
      <c r="E277" s="6">
        <v>120.64</v>
      </c>
    </row>
    <row r="278" spans="1:5" ht="15" customHeight="1" x14ac:dyDescent="0.25">
      <c r="A278">
        <v>29</v>
      </c>
      <c r="B278" t="s">
        <v>122</v>
      </c>
      <c r="C278">
        <v>684</v>
      </c>
      <c r="D278" t="s">
        <v>138</v>
      </c>
      <c r="E278" s="6">
        <v>120.96</v>
      </c>
    </row>
    <row r="279" spans="1:5" ht="15" customHeight="1" x14ac:dyDescent="0.25">
      <c r="A279">
        <v>29</v>
      </c>
      <c r="B279" t="s">
        <v>122</v>
      </c>
      <c r="C279">
        <v>685</v>
      </c>
      <c r="D279" t="s">
        <v>139</v>
      </c>
      <c r="E279" s="6">
        <v>119.37</v>
      </c>
    </row>
    <row r="280" spans="1:5" ht="15" customHeight="1" x14ac:dyDescent="0.25">
      <c r="A280">
        <v>29</v>
      </c>
      <c r="B280" t="s">
        <v>122</v>
      </c>
      <c r="C280">
        <v>691</v>
      </c>
      <c r="D280" t="s">
        <v>140</v>
      </c>
      <c r="E280" s="6">
        <v>117.99</v>
      </c>
    </row>
    <row r="281" spans="1:5" ht="15" customHeight="1" x14ac:dyDescent="0.25">
      <c r="A281">
        <v>29</v>
      </c>
      <c r="B281" t="s">
        <v>122</v>
      </c>
      <c r="C281">
        <v>706</v>
      </c>
      <c r="D281" t="s">
        <v>141</v>
      </c>
      <c r="E281" s="6">
        <v>119.22</v>
      </c>
    </row>
    <row r="282" spans="1:5" ht="15" customHeight="1" x14ac:dyDescent="0.25">
      <c r="A282">
        <v>29</v>
      </c>
      <c r="B282" t="s">
        <v>122</v>
      </c>
      <c r="C282">
        <v>713</v>
      </c>
      <c r="D282" t="s">
        <v>142</v>
      </c>
      <c r="E282" s="6">
        <v>122.51</v>
      </c>
    </row>
    <row r="283" spans="1:5" ht="15" customHeight="1" x14ac:dyDescent="0.25">
      <c r="A283">
        <v>29</v>
      </c>
      <c r="B283" t="s">
        <v>122</v>
      </c>
      <c r="C283">
        <v>718</v>
      </c>
      <c r="D283" t="s">
        <v>143</v>
      </c>
      <c r="E283" s="6">
        <v>121.06</v>
      </c>
    </row>
    <row r="284" spans="1:5" ht="15" customHeight="1" x14ac:dyDescent="0.25">
      <c r="A284">
        <v>29</v>
      </c>
      <c r="B284" t="s">
        <v>122</v>
      </c>
      <c r="C284">
        <v>731</v>
      </c>
      <c r="D284" t="s">
        <v>144</v>
      </c>
      <c r="E284" s="6">
        <v>143.69</v>
      </c>
    </row>
    <row r="285" spans="1:5" ht="15" customHeight="1" x14ac:dyDescent="0.25">
      <c r="A285">
        <v>29</v>
      </c>
      <c r="B285" t="s">
        <v>122</v>
      </c>
      <c r="C285">
        <v>743</v>
      </c>
      <c r="D285" t="s">
        <v>145</v>
      </c>
      <c r="E285" s="6">
        <v>114.33</v>
      </c>
    </row>
    <row r="286" spans="1:5" ht="15" customHeight="1" x14ac:dyDescent="0.25">
      <c r="A286">
        <v>29</v>
      </c>
      <c r="B286" t="s">
        <v>122</v>
      </c>
      <c r="C286">
        <v>760</v>
      </c>
      <c r="D286" t="s">
        <v>146</v>
      </c>
      <c r="E286" s="6">
        <v>118.88</v>
      </c>
    </row>
    <row r="287" spans="1:5" ht="15" customHeight="1" x14ac:dyDescent="0.25">
      <c r="A287">
        <v>29</v>
      </c>
      <c r="B287" t="s">
        <v>122</v>
      </c>
      <c r="C287">
        <v>765</v>
      </c>
      <c r="D287" t="s">
        <v>147</v>
      </c>
      <c r="E287" s="6">
        <v>122.29</v>
      </c>
    </row>
    <row r="288" spans="1:5" ht="15" customHeight="1" x14ac:dyDescent="0.25">
      <c r="A288">
        <v>29</v>
      </c>
      <c r="B288" t="s">
        <v>122</v>
      </c>
      <c r="C288">
        <v>766</v>
      </c>
      <c r="D288" t="s">
        <v>148</v>
      </c>
      <c r="E288" s="6">
        <v>120.95</v>
      </c>
    </row>
    <row r="289" spans="1:5" ht="15" customHeight="1" x14ac:dyDescent="0.25">
      <c r="A289">
        <v>29</v>
      </c>
      <c r="B289" t="s">
        <v>122</v>
      </c>
      <c r="C289">
        <v>767</v>
      </c>
      <c r="D289" t="s">
        <v>149</v>
      </c>
      <c r="E289" s="6">
        <v>116.49</v>
      </c>
    </row>
    <row r="290" spans="1:5" ht="15" customHeight="1" x14ac:dyDescent="0.25">
      <c r="A290">
        <v>29</v>
      </c>
      <c r="B290" t="s">
        <v>122</v>
      </c>
      <c r="C290">
        <v>795</v>
      </c>
      <c r="D290" t="s">
        <v>150</v>
      </c>
      <c r="E290" s="6">
        <v>119.97</v>
      </c>
    </row>
    <row r="291" spans="1:5" ht="15" customHeight="1" x14ac:dyDescent="0.25">
      <c r="A291">
        <v>29</v>
      </c>
      <c r="B291" t="s">
        <v>122</v>
      </c>
      <c r="C291">
        <v>798</v>
      </c>
      <c r="D291" t="s">
        <v>151</v>
      </c>
      <c r="E291" s="6">
        <v>117.28</v>
      </c>
    </row>
    <row r="292" spans="1:5" ht="15" customHeight="1" x14ac:dyDescent="0.25">
      <c r="A292">
        <v>29</v>
      </c>
      <c r="B292" t="s">
        <v>122</v>
      </c>
      <c r="C292">
        <v>799</v>
      </c>
      <c r="D292" t="s">
        <v>152</v>
      </c>
      <c r="E292" s="6">
        <v>122.34</v>
      </c>
    </row>
    <row r="293" spans="1:5" ht="15" customHeight="1" x14ac:dyDescent="0.25">
      <c r="A293">
        <v>29</v>
      </c>
      <c r="B293" t="s">
        <v>122</v>
      </c>
      <c r="C293">
        <v>811</v>
      </c>
      <c r="D293" t="s">
        <v>153</v>
      </c>
      <c r="E293" s="6">
        <v>124.31</v>
      </c>
    </row>
    <row r="294" spans="1:5" ht="15" customHeight="1" x14ac:dyDescent="0.25">
      <c r="A294">
        <v>29</v>
      </c>
      <c r="B294" t="s">
        <v>122</v>
      </c>
      <c r="C294">
        <v>820</v>
      </c>
      <c r="D294" t="s">
        <v>154</v>
      </c>
      <c r="E294" s="6">
        <v>118.41</v>
      </c>
    </row>
    <row r="295" spans="1:5" ht="15" customHeight="1" x14ac:dyDescent="0.25">
      <c r="A295">
        <v>29</v>
      </c>
      <c r="B295" t="s">
        <v>122</v>
      </c>
      <c r="C295">
        <v>830</v>
      </c>
      <c r="D295" t="s">
        <v>155</v>
      </c>
      <c r="E295" s="6">
        <v>117.91</v>
      </c>
    </row>
    <row r="296" spans="1:5" ht="15" customHeight="1" x14ac:dyDescent="0.25">
      <c r="A296">
        <v>29</v>
      </c>
      <c r="B296" t="s">
        <v>122</v>
      </c>
      <c r="C296">
        <v>831</v>
      </c>
      <c r="D296" t="s">
        <v>156</v>
      </c>
      <c r="E296" s="6">
        <v>127.33</v>
      </c>
    </row>
    <row r="297" spans="1:5" ht="15" customHeight="1" x14ac:dyDescent="0.25">
      <c r="A297">
        <v>29</v>
      </c>
      <c r="B297" t="s">
        <v>122</v>
      </c>
      <c r="C297">
        <v>832</v>
      </c>
      <c r="D297" t="s">
        <v>157</v>
      </c>
      <c r="E297" s="6">
        <v>118.52</v>
      </c>
    </row>
    <row r="298" spans="1:5" ht="15" customHeight="1" x14ac:dyDescent="0.25">
      <c r="A298">
        <v>29</v>
      </c>
      <c r="B298" t="s">
        <v>122</v>
      </c>
      <c r="C298">
        <v>833</v>
      </c>
      <c r="D298" t="s">
        <v>158</v>
      </c>
      <c r="E298" s="6">
        <v>120.48</v>
      </c>
    </row>
    <row r="299" spans="1:5" ht="15" customHeight="1" x14ac:dyDescent="0.25">
      <c r="A299">
        <v>29</v>
      </c>
      <c r="B299" t="s">
        <v>122</v>
      </c>
      <c r="C299">
        <v>840</v>
      </c>
      <c r="D299" t="s">
        <v>159</v>
      </c>
      <c r="E299" s="6">
        <v>117.82</v>
      </c>
    </row>
    <row r="300" spans="1:5" ht="15" customHeight="1" x14ac:dyDescent="0.25">
      <c r="A300">
        <v>29</v>
      </c>
      <c r="B300" t="s">
        <v>122</v>
      </c>
      <c r="C300">
        <v>841</v>
      </c>
      <c r="D300" t="s">
        <v>160</v>
      </c>
      <c r="E300" s="6">
        <v>118.91</v>
      </c>
    </row>
    <row r="301" spans="1:5" ht="15" customHeight="1" x14ac:dyDescent="0.25">
      <c r="A301">
        <v>29</v>
      </c>
      <c r="B301" t="s">
        <v>122</v>
      </c>
      <c r="C301">
        <v>842</v>
      </c>
      <c r="D301" t="s">
        <v>161</v>
      </c>
      <c r="E301" s="6">
        <v>124.19</v>
      </c>
    </row>
    <row r="302" spans="1:5" ht="15" customHeight="1" x14ac:dyDescent="0.25">
      <c r="A302">
        <v>29</v>
      </c>
      <c r="B302" t="s">
        <v>122</v>
      </c>
      <c r="C302">
        <v>847</v>
      </c>
      <c r="D302" t="s">
        <v>162</v>
      </c>
      <c r="E302" s="6">
        <v>118.77</v>
      </c>
    </row>
    <row r="303" spans="1:5" ht="15" customHeight="1" x14ac:dyDescent="0.25">
      <c r="A303">
        <v>29</v>
      </c>
      <c r="B303" t="s">
        <v>122</v>
      </c>
      <c r="C303">
        <v>877</v>
      </c>
      <c r="D303" t="s">
        <v>163</v>
      </c>
      <c r="E303" s="6">
        <v>135.75</v>
      </c>
    </row>
    <row r="304" spans="1:5" ht="15" customHeight="1" x14ac:dyDescent="0.25">
      <c r="A304">
        <v>29</v>
      </c>
      <c r="B304" t="s">
        <v>122</v>
      </c>
      <c r="C304">
        <v>898</v>
      </c>
      <c r="D304" t="s">
        <v>164</v>
      </c>
      <c r="E304" s="6">
        <v>123.77</v>
      </c>
    </row>
    <row r="305" spans="1:5" ht="15" customHeight="1" x14ac:dyDescent="0.25">
      <c r="A305">
        <v>29</v>
      </c>
      <c r="B305" t="s">
        <v>122</v>
      </c>
      <c r="C305">
        <v>899</v>
      </c>
      <c r="D305" t="s">
        <v>165</v>
      </c>
      <c r="E305" s="6">
        <v>123.8</v>
      </c>
    </row>
    <row r="306" spans="1:5" ht="15" customHeight="1" x14ac:dyDescent="0.25">
      <c r="A306">
        <v>29</v>
      </c>
      <c r="B306" t="s">
        <v>122</v>
      </c>
      <c r="C306">
        <v>1912</v>
      </c>
      <c r="D306" t="s">
        <v>166</v>
      </c>
      <c r="E306" s="6">
        <v>141.72</v>
      </c>
    </row>
    <row r="307" spans="1:5" ht="15" customHeight="1" x14ac:dyDescent="0.25">
      <c r="A307">
        <v>29</v>
      </c>
      <c r="B307" t="s">
        <v>122</v>
      </c>
      <c r="C307">
        <v>9999</v>
      </c>
      <c r="D307" t="s">
        <v>117</v>
      </c>
      <c r="E307" s="6">
        <v>120.87</v>
      </c>
    </row>
    <row r="308" spans="1:5" ht="15" customHeight="1" x14ac:dyDescent="0.25">
      <c r="A308">
        <v>70</v>
      </c>
      <c r="B308" t="s">
        <v>123</v>
      </c>
      <c r="C308">
        <v>1</v>
      </c>
      <c r="D308" t="s">
        <v>117</v>
      </c>
      <c r="E308" s="6">
        <v>81.53</v>
      </c>
    </row>
    <row r="309" spans="1:5" ht="15" customHeight="1" x14ac:dyDescent="0.25">
      <c r="A309">
        <v>70</v>
      </c>
      <c r="B309" t="s">
        <v>123</v>
      </c>
      <c r="C309">
        <v>3</v>
      </c>
      <c r="D309" t="s">
        <v>118</v>
      </c>
      <c r="E309" s="6">
        <v>97.21</v>
      </c>
    </row>
    <row r="310" spans="1:5" ht="15" customHeight="1" x14ac:dyDescent="0.25">
      <c r="A310">
        <v>70</v>
      </c>
      <c r="B310" t="s">
        <v>123</v>
      </c>
      <c r="C310">
        <v>5</v>
      </c>
      <c r="D310" t="s">
        <v>119</v>
      </c>
      <c r="E310" s="6">
        <v>123.71</v>
      </c>
    </row>
    <row r="311" spans="1:5" ht="15" customHeight="1" x14ac:dyDescent="0.25">
      <c r="A311">
        <v>70</v>
      </c>
      <c r="B311" t="s">
        <v>123</v>
      </c>
      <c r="C311">
        <v>11</v>
      </c>
      <c r="D311" t="s">
        <v>120</v>
      </c>
      <c r="E311" s="6">
        <v>141.84</v>
      </c>
    </row>
    <row r="312" spans="1:5" ht="15" customHeight="1" x14ac:dyDescent="0.25">
      <c r="A312">
        <v>70</v>
      </c>
      <c r="B312" t="s">
        <v>123</v>
      </c>
      <c r="C312">
        <v>12</v>
      </c>
      <c r="D312" t="s">
        <v>121</v>
      </c>
      <c r="E312" s="6">
        <v>42.29</v>
      </c>
    </row>
    <row r="313" spans="1:5" ht="15" customHeight="1" x14ac:dyDescent="0.25">
      <c r="A313">
        <v>70</v>
      </c>
      <c r="B313" t="s">
        <v>123</v>
      </c>
      <c r="C313">
        <v>29</v>
      </c>
      <c r="D313" t="s">
        <v>122</v>
      </c>
      <c r="E313" s="6">
        <v>188.86</v>
      </c>
    </row>
    <row r="314" spans="1:5" ht="15" customHeight="1" x14ac:dyDescent="0.25">
      <c r="A314">
        <v>70</v>
      </c>
      <c r="B314" t="s">
        <v>123</v>
      </c>
      <c r="C314">
        <v>70</v>
      </c>
      <c r="D314" t="s">
        <v>123</v>
      </c>
      <c r="E314" s="6">
        <v>0</v>
      </c>
    </row>
    <row r="315" spans="1:5" ht="15" customHeight="1" x14ac:dyDescent="0.25">
      <c r="A315">
        <v>70</v>
      </c>
      <c r="B315" t="s">
        <v>123</v>
      </c>
      <c r="C315">
        <v>71</v>
      </c>
      <c r="D315" t="s">
        <v>124</v>
      </c>
      <c r="E315" s="6">
        <v>82.4</v>
      </c>
    </row>
    <row r="316" spans="1:5" ht="15" customHeight="1" x14ac:dyDescent="0.25">
      <c r="A316">
        <v>70</v>
      </c>
      <c r="B316" t="s">
        <v>123</v>
      </c>
      <c r="C316">
        <v>384</v>
      </c>
      <c r="D316" t="s">
        <v>125</v>
      </c>
      <c r="E316" s="6">
        <v>81.819999999999993</v>
      </c>
    </row>
    <row r="317" spans="1:5" ht="15" customHeight="1" x14ac:dyDescent="0.25">
      <c r="A317">
        <v>70</v>
      </c>
      <c r="B317" t="s">
        <v>123</v>
      </c>
      <c r="C317">
        <v>429</v>
      </c>
      <c r="D317" t="s">
        <v>126</v>
      </c>
      <c r="E317" s="6">
        <v>52.99</v>
      </c>
    </row>
    <row r="318" spans="1:5" ht="15" customHeight="1" x14ac:dyDescent="0.25">
      <c r="A318">
        <v>70</v>
      </c>
      <c r="B318" t="s">
        <v>123</v>
      </c>
      <c r="C318">
        <v>486</v>
      </c>
      <c r="D318" t="s">
        <v>127</v>
      </c>
      <c r="E318" s="6">
        <v>55.12</v>
      </c>
    </row>
    <row r="319" spans="1:5" ht="15" customHeight="1" x14ac:dyDescent="0.25">
      <c r="A319">
        <v>70</v>
      </c>
      <c r="B319" t="s">
        <v>123</v>
      </c>
      <c r="C319">
        <v>546</v>
      </c>
      <c r="D319" t="s">
        <v>128</v>
      </c>
      <c r="E319" s="6">
        <v>91.52</v>
      </c>
    </row>
    <row r="320" spans="1:5" ht="15" customHeight="1" x14ac:dyDescent="0.25">
      <c r="A320">
        <v>70</v>
      </c>
      <c r="B320" t="s">
        <v>123</v>
      </c>
      <c r="C320">
        <v>599</v>
      </c>
      <c r="D320" t="s">
        <v>129</v>
      </c>
      <c r="E320" s="6">
        <v>79.489999999999995</v>
      </c>
    </row>
    <row r="321" spans="1:5" ht="15" customHeight="1" x14ac:dyDescent="0.25">
      <c r="A321">
        <v>70</v>
      </c>
      <c r="B321" t="s">
        <v>123</v>
      </c>
      <c r="C321">
        <v>620</v>
      </c>
      <c r="D321" t="s">
        <v>130</v>
      </c>
      <c r="E321" s="6">
        <v>90.87</v>
      </c>
    </row>
    <row r="322" spans="1:5" ht="15" customHeight="1" x14ac:dyDescent="0.25">
      <c r="A322">
        <v>70</v>
      </c>
      <c r="B322" t="s">
        <v>123</v>
      </c>
      <c r="C322">
        <v>626</v>
      </c>
      <c r="D322" t="s">
        <v>131</v>
      </c>
      <c r="E322" s="6">
        <v>83.35</v>
      </c>
    </row>
    <row r="323" spans="1:5" ht="15" customHeight="1" x14ac:dyDescent="0.25">
      <c r="A323">
        <v>70</v>
      </c>
      <c r="B323" t="s">
        <v>123</v>
      </c>
      <c r="C323">
        <v>627</v>
      </c>
      <c r="D323" t="s">
        <v>132</v>
      </c>
      <c r="E323" s="6">
        <v>79.59</v>
      </c>
    </row>
    <row r="324" spans="1:5" ht="15" customHeight="1" x14ac:dyDescent="0.25">
      <c r="A324">
        <v>70</v>
      </c>
      <c r="B324" t="s">
        <v>123</v>
      </c>
      <c r="C324">
        <v>651</v>
      </c>
      <c r="D324" t="s">
        <v>133</v>
      </c>
      <c r="E324" s="6">
        <v>82.22</v>
      </c>
    </row>
    <row r="325" spans="1:5" ht="15" customHeight="1" x14ac:dyDescent="0.25">
      <c r="A325">
        <v>70</v>
      </c>
      <c r="B325" t="s">
        <v>123</v>
      </c>
      <c r="C325">
        <v>668</v>
      </c>
      <c r="D325" t="s">
        <v>134</v>
      </c>
      <c r="E325" s="6">
        <v>80.790000000000006</v>
      </c>
    </row>
    <row r="326" spans="1:5" ht="15" customHeight="1" x14ac:dyDescent="0.25">
      <c r="A326">
        <v>70</v>
      </c>
      <c r="B326" t="s">
        <v>123</v>
      </c>
      <c r="C326">
        <v>681</v>
      </c>
      <c r="D326" t="s">
        <v>135</v>
      </c>
      <c r="E326" s="6">
        <v>84.46</v>
      </c>
    </row>
    <row r="327" spans="1:5" ht="15" customHeight="1" x14ac:dyDescent="0.25">
      <c r="A327">
        <v>70</v>
      </c>
      <c r="B327" t="s">
        <v>123</v>
      </c>
      <c r="C327">
        <v>682</v>
      </c>
      <c r="D327" t="s">
        <v>136</v>
      </c>
      <c r="E327" s="6">
        <v>80.86</v>
      </c>
    </row>
    <row r="328" spans="1:5" ht="15" customHeight="1" x14ac:dyDescent="0.25">
      <c r="A328">
        <v>70</v>
      </c>
      <c r="B328" t="s">
        <v>123</v>
      </c>
      <c r="C328">
        <v>683</v>
      </c>
      <c r="D328" t="s">
        <v>137</v>
      </c>
      <c r="E328" s="6">
        <v>81.38</v>
      </c>
    </row>
    <row r="329" spans="1:5" ht="15" customHeight="1" x14ac:dyDescent="0.25">
      <c r="A329">
        <v>70</v>
      </c>
      <c r="B329" t="s">
        <v>123</v>
      </c>
      <c r="C329">
        <v>684</v>
      </c>
      <c r="D329" t="s">
        <v>138</v>
      </c>
      <c r="E329" s="6">
        <v>82.39</v>
      </c>
    </row>
    <row r="330" spans="1:5" ht="15" customHeight="1" x14ac:dyDescent="0.25">
      <c r="A330">
        <v>70</v>
      </c>
      <c r="B330" t="s">
        <v>123</v>
      </c>
      <c r="C330">
        <v>685</v>
      </c>
      <c r="D330" t="s">
        <v>139</v>
      </c>
      <c r="E330" s="6">
        <v>83.35</v>
      </c>
    </row>
    <row r="331" spans="1:5" ht="15" customHeight="1" x14ac:dyDescent="0.25">
      <c r="A331">
        <v>70</v>
      </c>
      <c r="B331" t="s">
        <v>123</v>
      </c>
      <c r="C331">
        <v>691</v>
      </c>
      <c r="D331" t="s">
        <v>140</v>
      </c>
      <c r="E331" s="6">
        <v>84.59</v>
      </c>
    </row>
    <row r="332" spans="1:5" ht="15" customHeight="1" x14ac:dyDescent="0.25">
      <c r="A332">
        <v>70</v>
      </c>
      <c r="B332" t="s">
        <v>123</v>
      </c>
      <c r="C332">
        <v>706</v>
      </c>
      <c r="D332" t="s">
        <v>141</v>
      </c>
      <c r="E332" s="6">
        <v>81.95</v>
      </c>
    </row>
    <row r="333" spans="1:5" ht="15" customHeight="1" x14ac:dyDescent="0.25">
      <c r="A333">
        <v>70</v>
      </c>
      <c r="B333" t="s">
        <v>123</v>
      </c>
      <c r="C333">
        <v>713</v>
      </c>
      <c r="D333" t="s">
        <v>142</v>
      </c>
      <c r="E333" s="6">
        <v>80.72</v>
      </c>
    </row>
    <row r="334" spans="1:5" ht="15" customHeight="1" x14ac:dyDescent="0.25">
      <c r="A334">
        <v>70</v>
      </c>
      <c r="B334" t="s">
        <v>123</v>
      </c>
      <c r="C334">
        <v>718</v>
      </c>
      <c r="D334" t="s">
        <v>143</v>
      </c>
      <c r="E334" s="6">
        <v>79.38</v>
      </c>
    </row>
    <row r="335" spans="1:5" ht="15" customHeight="1" x14ac:dyDescent="0.25">
      <c r="A335">
        <v>70</v>
      </c>
      <c r="B335" t="s">
        <v>123</v>
      </c>
      <c r="C335">
        <v>731</v>
      </c>
      <c r="D335" t="s">
        <v>144</v>
      </c>
      <c r="E335" s="6">
        <v>86.44</v>
      </c>
    </row>
    <row r="336" spans="1:5" ht="15" customHeight="1" x14ac:dyDescent="0.25">
      <c r="A336">
        <v>70</v>
      </c>
      <c r="B336" t="s">
        <v>123</v>
      </c>
      <c r="C336">
        <v>743</v>
      </c>
      <c r="D336" t="s">
        <v>145</v>
      </c>
      <c r="E336" s="6">
        <v>95.73</v>
      </c>
    </row>
    <row r="337" spans="1:5" ht="15" customHeight="1" x14ac:dyDescent="0.25">
      <c r="A337">
        <v>70</v>
      </c>
      <c r="B337" t="s">
        <v>123</v>
      </c>
      <c r="C337">
        <v>760</v>
      </c>
      <c r="D337" t="s">
        <v>146</v>
      </c>
      <c r="E337" s="6">
        <v>83.98</v>
      </c>
    </row>
    <row r="338" spans="1:5" ht="15" customHeight="1" x14ac:dyDescent="0.25">
      <c r="A338">
        <v>70</v>
      </c>
      <c r="B338" t="s">
        <v>123</v>
      </c>
      <c r="C338">
        <v>765</v>
      </c>
      <c r="D338" t="s">
        <v>147</v>
      </c>
      <c r="E338" s="6">
        <v>83.49</v>
      </c>
    </row>
    <row r="339" spans="1:5" ht="15" customHeight="1" x14ac:dyDescent="0.25">
      <c r="A339">
        <v>70</v>
      </c>
      <c r="B339" t="s">
        <v>123</v>
      </c>
      <c r="C339">
        <v>766</v>
      </c>
      <c r="D339" t="s">
        <v>148</v>
      </c>
      <c r="E339" s="6">
        <v>80.28</v>
      </c>
    </row>
    <row r="340" spans="1:5" ht="15" customHeight="1" x14ac:dyDescent="0.25">
      <c r="A340">
        <v>70</v>
      </c>
      <c r="B340" t="s">
        <v>123</v>
      </c>
      <c r="C340">
        <v>767</v>
      </c>
      <c r="D340" t="s">
        <v>149</v>
      </c>
      <c r="E340" s="6">
        <v>82.01</v>
      </c>
    </row>
    <row r="341" spans="1:5" ht="15" customHeight="1" x14ac:dyDescent="0.25">
      <c r="A341">
        <v>70</v>
      </c>
      <c r="B341" t="s">
        <v>123</v>
      </c>
      <c r="C341">
        <v>795</v>
      </c>
      <c r="D341" t="s">
        <v>150</v>
      </c>
      <c r="E341" s="6">
        <v>82.89</v>
      </c>
    </row>
    <row r="342" spans="1:5" ht="15" customHeight="1" x14ac:dyDescent="0.25">
      <c r="A342">
        <v>70</v>
      </c>
      <c r="B342" t="s">
        <v>123</v>
      </c>
      <c r="C342">
        <v>798</v>
      </c>
      <c r="D342" t="s">
        <v>151</v>
      </c>
      <c r="E342" s="6">
        <v>86.05</v>
      </c>
    </row>
    <row r="343" spans="1:5" ht="15" customHeight="1" x14ac:dyDescent="0.25">
      <c r="A343">
        <v>70</v>
      </c>
      <c r="B343" t="s">
        <v>123</v>
      </c>
      <c r="C343">
        <v>799</v>
      </c>
      <c r="D343" t="s">
        <v>152</v>
      </c>
      <c r="E343" s="6">
        <v>82.48</v>
      </c>
    </row>
    <row r="344" spans="1:5" ht="15" customHeight="1" x14ac:dyDescent="0.25">
      <c r="A344">
        <v>70</v>
      </c>
      <c r="B344" t="s">
        <v>123</v>
      </c>
      <c r="C344">
        <v>811</v>
      </c>
      <c r="D344" t="s">
        <v>153</v>
      </c>
      <c r="E344" s="6">
        <v>75.91</v>
      </c>
    </row>
    <row r="345" spans="1:5" ht="15" customHeight="1" x14ac:dyDescent="0.25">
      <c r="A345">
        <v>70</v>
      </c>
      <c r="B345" t="s">
        <v>123</v>
      </c>
      <c r="C345">
        <v>820</v>
      </c>
      <c r="D345" t="s">
        <v>154</v>
      </c>
      <c r="E345" s="6">
        <v>84.89</v>
      </c>
    </row>
    <row r="346" spans="1:5" ht="15" customHeight="1" x14ac:dyDescent="0.25">
      <c r="A346">
        <v>70</v>
      </c>
      <c r="B346" t="s">
        <v>123</v>
      </c>
      <c r="C346">
        <v>830</v>
      </c>
      <c r="D346" t="s">
        <v>155</v>
      </c>
      <c r="E346" s="6">
        <v>85.17</v>
      </c>
    </row>
    <row r="347" spans="1:5" ht="15" customHeight="1" x14ac:dyDescent="0.25">
      <c r="A347">
        <v>70</v>
      </c>
      <c r="B347" t="s">
        <v>123</v>
      </c>
      <c r="C347">
        <v>831</v>
      </c>
      <c r="D347" t="s">
        <v>156</v>
      </c>
      <c r="E347" s="6">
        <v>79.7</v>
      </c>
    </row>
    <row r="348" spans="1:5" ht="15" customHeight="1" x14ac:dyDescent="0.25">
      <c r="A348">
        <v>70</v>
      </c>
      <c r="B348" t="s">
        <v>123</v>
      </c>
      <c r="C348">
        <v>832</v>
      </c>
      <c r="D348" t="s">
        <v>157</v>
      </c>
      <c r="E348" s="6">
        <v>85.07</v>
      </c>
    </row>
    <row r="349" spans="1:5" ht="15" customHeight="1" x14ac:dyDescent="0.25">
      <c r="A349">
        <v>70</v>
      </c>
      <c r="B349" t="s">
        <v>123</v>
      </c>
      <c r="C349">
        <v>833</v>
      </c>
      <c r="D349" t="s">
        <v>158</v>
      </c>
      <c r="E349" s="6">
        <v>83.17</v>
      </c>
    </row>
    <row r="350" spans="1:5" ht="15" customHeight="1" x14ac:dyDescent="0.25">
      <c r="A350">
        <v>70</v>
      </c>
      <c r="B350" t="s">
        <v>123</v>
      </c>
      <c r="C350">
        <v>840</v>
      </c>
      <c r="D350" t="s">
        <v>159</v>
      </c>
      <c r="E350" s="6">
        <v>87.06</v>
      </c>
    </row>
    <row r="351" spans="1:5" ht="15" customHeight="1" x14ac:dyDescent="0.25">
      <c r="A351">
        <v>70</v>
      </c>
      <c r="B351" t="s">
        <v>123</v>
      </c>
      <c r="C351">
        <v>841</v>
      </c>
      <c r="D351" t="s">
        <v>160</v>
      </c>
      <c r="E351" s="6">
        <v>83.07</v>
      </c>
    </row>
    <row r="352" spans="1:5" ht="15" customHeight="1" x14ac:dyDescent="0.25">
      <c r="A352">
        <v>70</v>
      </c>
      <c r="B352" t="s">
        <v>123</v>
      </c>
      <c r="C352">
        <v>842</v>
      </c>
      <c r="D352" t="s">
        <v>161</v>
      </c>
      <c r="E352" s="6">
        <v>78.5</v>
      </c>
    </row>
    <row r="353" spans="1:5" ht="15" customHeight="1" x14ac:dyDescent="0.25">
      <c r="A353">
        <v>70</v>
      </c>
      <c r="B353" t="s">
        <v>123</v>
      </c>
      <c r="C353">
        <v>847</v>
      </c>
      <c r="D353" t="s">
        <v>162</v>
      </c>
      <c r="E353" s="6">
        <v>82.84</v>
      </c>
    </row>
    <row r="354" spans="1:5" ht="15" customHeight="1" x14ac:dyDescent="0.25">
      <c r="A354">
        <v>70</v>
      </c>
      <c r="B354" t="s">
        <v>123</v>
      </c>
      <c r="C354">
        <v>877</v>
      </c>
      <c r="D354" t="s">
        <v>163</v>
      </c>
      <c r="E354" s="6">
        <v>84.53</v>
      </c>
    </row>
    <row r="355" spans="1:5" ht="15" customHeight="1" x14ac:dyDescent="0.25">
      <c r="A355">
        <v>70</v>
      </c>
      <c r="B355" t="s">
        <v>123</v>
      </c>
      <c r="C355">
        <v>898</v>
      </c>
      <c r="D355" t="s">
        <v>164</v>
      </c>
      <c r="E355" s="6">
        <v>81.540000000000006</v>
      </c>
    </row>
    <row r="356" spans="1:5" ht="15" customHeight="1" x14ac:dyDescent="0.25">
      <c r="A356">
        <v>70</v>
      </c>
      <c r="B356" t="s">
        <v>123</v>
      </c>
      <c r="C356">
        <v>899</v>
      </c>
      <c r="D356" t="s">
        <v>165</v>
      </c>
      <c r="E356" s="6">
        <v>77.33</v>
      </c>
    </row>
    <row r="357" spans="1:5" ht="15" customHeight="1" x14ac:dyDescent="0.25">
      <c r="A357">
        <v>70</v>
      </c>
      <c r="B357" t="s">
        <v>123</v>
      </c>
      <c r="C357">
        <v>1912</v>
      </c>
      <c r="D357" t="s">
        <v>166</v>
      </c>
      <c r="E357" s="6">
        <v>82.45</v>
      </c>
    </row>
    <row r="358" spans="1:5" ht="15" customHeight="1" x14ac:dyDescent="0.25">
      <c r="A358">
        <v>70</v>
      </c>
      <c r="B358" t="s">
        <v>123</v>
      </c>
      <c r="C358">
        <v>9999</v>
      </c>
      <c r="D358" t="s">
        <v>117</v>
      </c>
      <c r="E358" s="6">
        <v>81.53</v>
      </c>
    </row>
    <row r="359" spans="1:5" ht="15" customHeight="1" x14ac:dyDescent="0.25">
      <c r="A359">
        <v>71</v>
      </c>
      <c r="B359" t="s">
        <v>124</v>
      </c>
      <c r="C359">
        <v>1</v>
      </c>
      <c r="D359" t="s">
        <v>117</v>
      </c>
      <c r="E359" s="6">
        <v>125.67</v>
      </c>
    </row>
    <row r="360" spans="1:5" ht="15" customHeight="1" x14ac:dyDescent="0.25">
      <c r="A360">
        <v>71</v>
      </c>
      <c r="B360" t="s">
        <v>124</v>
      </c>
      <c r="C360">
        <v>3</v>
      </c>
      <c r="D360" t="s">
        <v>118</v>
      </c>
      <c r="E360" s="6">
        <v>167.2</v>
      </c>
    </row>
    <row r="361" spans="1:5" ht="15" customHeight="1" x14ac:dyDescent="0.25">
      <c r="A361">
        <v>71</v>
      </c>
      <c r="B361" t="s">
        <v>124</v>
      </c>
      <c r="C361">
        <v>5</v>
      </c>
      <c r="D361" t="s">
        <v>119</v>
      </c>
      <c r="E361" s="6">
        <v>202.45</v>
      </c>
    </row>
    <row r="362" spans="1:5" ht="15" customHeight="1" x14ac:dyDescent="0.25">
      <c r="A362">
        <v>71</v>
      </c>
      <c r="B362" t="s">
        <v>124</v>
      </c>
      <c r="C362">
        <v>11</v>
      </c>
      <c r="D362" t="s">
        <v>120</v>
      </c>
      <c r="E362" s="6">
        <v>206.9</v>
      </c>
    </row>
    <row r="363" spans="1:5" ht="15" customHeight="1" x14ac:dyDescent="0.25">
      <c r="A363">
        <v>71</v>
      </c>
      <c r="B363" t="s">
        <v>124</v>
      </c>
      <c r="C363">
        <v>12</v>
      </c>
      <c r="D363" t="s">
        <v>121</v>
      </c>
      <c r="E363" s="6">
        <v>117.36</v>
      </c>
    </row>
    <row r="364" spans="1:5" ht="15" customHeight="1" x14ac:dyDescent="0.25">
      <c r="A364">
        <v>71</v>
      </c>
      <c r="B364" t="s">
        <v>124</v>
      </c>
      <c r="C364">
        <v>29</v>
      </c>
      <c r="D364" t="s">
        <v>122</v>
      </c>
      <c r="E364" s="6">
        <v>184.37</v>
      </c>
    </row>
    <row r="365" spans="1:5" ht="15" customHeight="1" x14ac:dyDescent="0.25">
      <c r="A365">
        <v>71</v>
      </c>
      <c r="B365" t="s">
        <v>124</v>
      </c>
      <c r="C365">
        <v>70</v>
      </c>
      <c r="D365" t="s">
        <v>123</v>
      </c>
      <c r="E365" s="6">
        <v>82.4</v>
      </c>
    </row>
    <row r="366" spans="1:5" ht="15" customHeight="1" x14ac:dyDescent="0.25">
      <c r="A366">
        <v>71</v>
      </c>
      <c r="B366" t="s">
        <v>124</v>
      </c>
      <c r="C366">
        <v>71</v>
      </c>
      <c r="D366" t="s">
        <v>124</v>
      </c>
      <c r="E366" s="6">
        <v>0</v>
      </c>
    </row>
    <row r="367" spans="1:5" ht="15" customHeight="1" x14ac:dyDescent="0.25">
      <c r="A367">
        <v>71</v>
      </c>
      <c r="B367" t="s">
        <v>124</v>
      </c>
      <c r="C367">
        <v>384</v>
      </c>
      <c r="D367" t="s">
        <v>125</v>
      </c>
      <c r="E367" s="6">
        <v>125.37</v>
      </c>
    </row>
    <row r="368" spans="1:5" ht="15" customHeight="1" x14ac:dyDescent="0.25">
      <c r="A368">
        <v>71</v>
      </c>
      <c r="B368" t="s">
        <v>124</v>
      </c>
      <c r="C368">
        <v>429</v>
      </c>
      <c r="D368" t="s">
        <v>126</v>
      </c>
      <c r="E368" s="6">
        <v>56.08</v>
      </c>
    </row>
    <row r="369" spans="1:5" ht="15" customHeight="1" x14ac:dyDescent="0.25">
      <c r="A369">
        <v>71</v>
      </c>
      <c r="B369" t="s">
        <v>124</v>
      </c>
      <c r="C369">
        <v>486</v>
      </c>
      <c r="D369" t="s">
        <v>127</v>
      </c>
      <c r="E369" s="6">
        <v>134.22999999999999</v>
      </c>
    </row>
    <row r="370" spans="1:5" ht="15" customHeight="1" x14ac:dyDescent="0.25">
      <c r="A370">
        <v>71</v>
      </c>
      <c r="B370" t="s">
        <v>124</v>
      </c>
      <c r="C370">
        <v>546</v>
      </c>
      <c r="D370" t="s">
        <v>128</v>
      </c>
      <c r="E370" s="6">
        <v>167.7</v>
      </c>
    </row>
    <row r="371" spans="1:5" ht="15" customHeight="1" x14ac:dyDescent="0.25">
      <c r="A371">
        <v>71</v>
      </c>
      <c r="B371" t="s">
        <v>124</v>
      </c>
      <c r="C371">
        <v>599</v>
      </c>
      <c r="D371" t="s">
        <v>129</v>
      </c>
      <c r="E371" s="6">
        <v>127.14</v>
      </c>
    </row>
    <row r="372" spans="1:5" ht="15" customHeight="1" x14ac:dyDescent="0.25">
      <c r="A372">
        <v>71</v>
      </c>
      <c r="B372" t="s">
        <v>124</v>
      </c>
      <c r="C372">
        <v>620</v>
      </c>
      <c r="D372" t="s">
        <v>130</v>
      </c>
      <c r="E372" s="6">
        <v>103.22</v>
      </c>
    </row>
    <row r="373" spans="1:5" ht="15" customHeight="1" x14ac:dyDescent="0.25">
      <c r="A373">
        <v>71</v>
      </c>
      <c r="B373" t="s">
        <v>124</v>
      </c>
      <c r="C373">
        <v>626</v>
      </c>
      <c r="D373" t="s">
        <v>131</v>
      </c>
      <c r="E373" s="6">
        <v>128.97</v>
      </c>
    </row>
    <row r="374" spans="1:5" ht="15" customHeight="1" x14ac:dyDescent="0.25">
      <c r="A374">
        <v>71</v>
      </c>
      <c r="B374" t="s">
        <v>124</v>
      </c>
      <c r="C374">
        <v>627</v>
      </c>
      <c r="D374" t="s">
        <v>132</v>
      </c>
      <c r="E374" s="6">
        <v>121.19</v>
      </c>
    </row>
    <row r="375" spans="1:5" ht="15" customHeight="1" x14ac:dyDescent="0.25">
      <c r="A375">
        <v>71</v>
      </c>
      <c r="B375" t="s">
        <v>124</v>
      </c>
      <c r="C375">
        <v>651</v>
      </c>
      <c r="D375" t="s">
        <v>133</v>
      </c>
      <c r="E375" s="6">
        <v>124.65</v>
      </c>
    </row>
    <row r="376" spans="1:5" ht="15" customHeight="1" x14ac:dyDescent="0.25">
      <c r="A376">
        <v>71</v>
      </c>
      <c r="B376" t="s">
        <v>124</v>
      </c>
      <c r="C376">
        <v>668</v>
      </c>
      <c r="D376" t="s">
        <v>134</v>
      </c>
      <c r="E376" s="6">
        <v>127.13</v>
      </c>
    </row>
    <row r="377" spans="1:5" ht="15" customHeight="1" x14ac:dyDescent="0.25">
      <c r="A377">
        <v>71</v>
      </c>
      <c r="B377" t="s">
        <v>124</v>
      </c>
      <c r="C377">
        <v>681</v>
      </c>
      <c r="D377" t="s">
        <v>135</v>
      </c>
      <c r="E377" s="6">
        <v>127.01</v>
      </c>
    </row>
    <row r="378" spans="1:5" ht="15" customHeight="1" x14ac:dyDescent="0.25">
      <c r="A378">
        <v>71</v>
      </c>
      <c r="B378" t="s">
        <v>124</v>
      </c>
      <c r="C378">
        <v>682</v>
      </c>
      <c r="D378" t="s">
        <v>136</v>
      </c>
      <c r="E378" s="6">
        <v>125.1</v>
      </c>
    </row>
    <row r="379" spans="1:5" ht="15" customHeight="1" x14ac:dyDescent="0.25">
      <c r="A379">
        <v>71</v>
      </c>
      <c r="B379" t="s">
        <v>124</v>
      </c>
      <c r="C379">
        <v>683</v>
      </c>
      <c r="D379" t="s">
        <v>137</v>
      </c>
      <c r="E379" s="6">
        <v>125.23</v>
      </c>
    </row>
    <row r="380" spans="1:5" ht="15" customHeight="1" x14ac:dyDescent="0.25">
      <c r="A380">
        <v>71</v>
      </c>
      <c r="B380" t="s">
        <v>124</v>
      </c>
      <c r="C380">
        <v>684</v>
      </c>
      <c r="D380" t="s">
        <v>138</v>
      </c>
      <c r="E380" s="6">
        <v>127</v>
      </c>
    </row>
    <row r="381" spans="1:5" ht="15" customHeight="1" x14ac:dyDescent="0.25">
      <c r="A381">
        <v>71</v>
      </c>
      <c r="B381" t="s">
        <v>124</v>
      </c>
      <c r="C381">
        <v>685</v>
      </c>
      <c r="D381" t="s">
        <v>139</v>
      </c>
      <c r="E381" s="6">
        <v>126.91</v>
      </c>
    </row>
    <row r="382" spans="1:5" ht="15" customHeight="1" x14ac:dyDescent="0.25">
      <c r="A382">
        <v>71</v>
      </c>
      <c r="B382" t="s">
        <v>124</v>
      </c>
      <c r="C382">
        <v>691</v>
      </c>
      <c r="D382" t="s">
        <v>140</v>
      </c>
      <c r="E382" s="6">
        <v>127.41</v>
      </c>
    </row>
    <row r="383" spans="1:5" ht="15" customHeight="1" x14ac:dyDescent="0.25">
      <c r="A383">
        <v>71</v>
      </c>
      <c r="B383" t="s">
        <v>124</v>
      </c>
      <c r="C383">
        <v>706</v>
      </c>
      <c r="D383" t="s">
        <v>141</v>
      </c>
      <c r="E383" s="6">
        <v>124.71</v>
      </c>
    </row>
    <row r="384" spans="1:5" ht="15" customHeight="1" x14ac:dyDescent="0.25">
      <c r="A384">
        <v>71</v>
      </c>
      <c r="B384" t="s">
        <v>124</v>
      </c>
      <c r="C384">
        <v>713</v>
      </c>
      <c r="D384" t="s">
        <v>142</v>
      </c>
      <c r="E384" s="6">
        <v>126.04</v>
      </c>
    </row>
    <row r="385" spans="1:5" ht="15" customHeight="1" x14ac:dyDescent="0.25">
      <c r="A385">
        <v>71</v>
      </c>
      <c r="B385" t="s">
        <v>124</v>
      </c>
      <c r="C385">
        <v>718</v>
      </c>
      <c r="D385" t="s">
        <v>143</v>
      </c>
      <c r="E385" s="6">
        <v>122.65</v>
      </c>
    </row>
    <row r="386" spans="1:5" ht="15" customHeight="1" x14ac:dyDescent="0.25">
      <c r="A386">
        <v>71</v>
      </c>
      <c r="B386" t="s">
        <v>124</v>
      </c>
      <c r="C386">
        <v>731</v>
      </c>
      <c r="D386" t="s">
        <v>144</v>
      </c>
      <c r="E386" s="6">
        <v>146.72999999999999</v>
      </c>
    </row>
    <row r="387" spans="1:5" ht="15" customHeight="1" x14ac:dyDescent="0.25">
      <c r="A387">
        <v>71</v>
      </c>
      <c r="B387" t="s">
        <v>124</v>
      </c>
      <c r="C387">
        <v>743</v>
      </c>
      <c r="D387" t="s">
        <v>145</v>
      </c>
      <c r="E387" s="6">
        <v>139.43</v>
      </c>
    </row>
    <row r="388" spans="1:5" ht="15" customHeight="1" x14ac:dyDescent="0.25">
      <c r="A388">
        <v>71</v>
      </c>
      <c r="B388" t="s">
        <v>124</v>
      </c>
      <c r="C388">
        <v>760</v>
      </c>
      <c r="D388" t="s">
        <v>146</v>
      </c>
      <c r="E388" s="6">
        <v>127.37</v>
      </c>
    </row>
    <row r="389" spans="1:5" ht="15" customHeight="1" x14ac:dyDescent="0.25">
      <c r="A389">
        <v>71</v>
      </c>
      <c r="B389" t="s">
        <v>124</v>
      </c>
      <c r="C389">
        <v>765</v>
      </c>
      <c r="D389" t="s">
        <v>147</v>
      </c>
      <c r="E389" s="6">
        <v>129.69</v>
      </c>
    </row>
    <row r="390" spans="1:5" ht="15" customHeight="1" x14ac:dyDescent="0.25">
      <c r="A390">
        <v>71</v>
      </c>
      <c r="B390" t="s">
        <v>124</v>
      </c>
      <c r="C390">
        <v>766</v>
      </c>
      <c r="D390" t="s">
        <v>148</v>
      </c>
      <c r="E390" s="6">
        <v>123.91</v>
      </c>
    </row>
    <row r="391" spans="1:5" ht="15" customHeight="1" x14ac:dyDescent="0.25">
      <c r="A391">
        <v>71</v>
      </c>
      <c r="B391" t="s">
        <v>124</v>
      </c>
      <c r="C391">
        <v>767</v>
      </c>
      <c r="D391" t="s">
        <v>149</v>
      </c>
      <c r="E391" s="6">
        <v>121.9</v>
      </c>
    </row>
    <row r="392" spans="1:5" ht="15" customHeight="1" x14ac:dyDescent="0.25">
      <c r="A392">
        <v>71</v>
      </c>
      <c r="B392" t="s">
        <v>124</v>
      </c>
      <c r="C392">
        <v>795</v>
      </c>
      <c r="D392" t="s">
        <v>150</v>
      </c>
      <c r="E392" s="6">
        <v>126.8</v>
      </c>
    </row>
    <row r="393" spans="1:5" ht="15" customHeight="1" x14ac:dyDescent="0.25">
      <c r="A393">
        <v>71</v>
      </c>
      <c r="B393" t="s">
        <v>124</v>
      </c>
      <c r="C393">
        <v>798</v>
      </c>
      <c r="D393" t="s">
        <v>151</v>
      </c>
      <c r="E393" s="6">
        <v>128.87</v>
      </c>
    </row>
    <row r="394" spans="1:5" ht="15" customHeight="1" x14ac:dyDescent="0.25">
      <c r="A394">
        <v>71</v>
      </c>
      <c r="B394" t="s">
        <v>124</v>
      </c>
      <c r="C394">
        <v>799</v>
      </c>
      <c r="D394" t="s">
        <v>152</v>
      </c>
      <c r="E394" s="6">
        <v>128.34</v>
      </c>
    </row>
    <row r="395" spans="1:5" ht="15" customHeight="1" x14ac:dyDescent="0.25">
      <c r="A395">
        <v>71</v>
      </c>
      <c r="B395" t="s">
        <v>124</v>
      </c>
      <c r="C395">
        <v>811</v>
      </c>
      <c r="D395" t="s">
        <v>153</v>
      </c>
      <c r="E395" s="6">
        <v>120.68</v>
      </c>
    </row>
    <row r="396" spans="1:5" ht="15" customHeight="1" x14ac:dyDescent="0.25">
      <c r="A396">
        <v>71</v>
      </c>
      <c r="B396" t="s">
        <v>124</v>
      </c>
      <c r="C396">
        <v>820</v>
      </c>
      <c r="D396" t="s">
        <v>154</v>
      </c>
      <c r="E396" s="6">
        <v>128.22999999999999</v>
      </c>
    </row>
    <row r="397" spans="1:5" ht="15" customHeight="1" x14ac:dyDescent="0.25">
      <c r="A397">
        <v>71</v>
      </c>
      <c r="B397" t="s">
        <v>124</v>
      </c>
      <c r="C397">
        <v>830</v>
      </c>
      <c r="D397" t="s">
        <v>155</v>
      </c>
      <c r="E397" s="6">
        <v>128.18</v>
      </c>
    </row>
    <row r="398" spans="1:5" ht="15" customHeight="1" x14ac:dyDescent="0.25">
      <c r="A398">
        <v>71</v>
      </c>
      <c r="B398" t="s">
        <v>124</v>
      </c>
      <c r="C398">
        <v>831</v>
      </c>
      <c r="D398" t="s">
        <v>156</v>
      </c>
      <c r="E398" s="6">
        <v>128.79</v>
      </c>
    </row>
    <row r="399" spans="1:5" ht="15" customHeight="1" x14ac:dyDescent="0.25">
      <c r="A399">
        <v>71</v>
      </c>
      <c r="B399" t="s">
        <v>124</v>
      </c>
      <c r="C399">
        <v>832</v>
      </c>
      <c r="D399" t="s">
        <v>157</v>
      </c>
      <c r="E399" s="6">
        <v>128.6</v>
      </c>
    </row>
    <row r="400" spans="1:5" ht="15" customHeight="1" x14ac:dyDescent="0.25">
      <c r="A400">
        <v>71</v>
      </c>
      <c r="B400" t="s">
        <v>124</v>
      </c>
      <c r="C400">
        <v>833</v>
      </c>
      <c r="D400" t="s">
        <v>158</v>
      </c>
      <c r="E400" s="6">
        <v>127.67</v>
      </c>
    </row>
    <row r="401" spans="1:5" ht="15" customHeight="1" x14ac:dyDescent="0.25">
      <c r="A401">
        <v>71</v>
      </c>
      <c r="B401" t="s">
        <v>124</v>
      </c>
      <c r="C401">
        <v>840</v>
      </c>
      <c r="D401" t="s">
        <v>159</v>
      </c>
      <c r="E401" s="6">
        <v>130.76</v>
      </c>
    </row>
    <row r="402" spans="1:5" ht="15" customHeight="1" x14ac:dyDescent="0.25">
      <c r="A402">
        <v>71</v>
      </c>
      <c r="B402" t="s">
        <v>124</v>
      </c>
      <c r="C402">
        <v>841</v>
      </c>
      <c r="D402" t="s">
        <v>160</v>
      </c>
      <c r="E402" s="6">
        <v>126.06</v>
      </c>
    </row>
    <row r="403" spans="1:5" ht="15" customHeight="1" x14ac:dyDescent="0.25">
      <c r="A403">
        <v>71</v>
      </c>
      <c r="B403" t="s">
        <v>124</v>
      </c>
      <c r="C403">
        <v>842</v>
      </c>
      <c r="D403" t="s">
        <v>161</v>
      </c>
      <c r="E403" s="6">
        <v>124.42</v>
      </c>
    </row>
    <row r="404" spans="1:5" ht="15" customHeight="1" x14ac:dyDescent="0.25">
      <c r="A404">
        <v>71</v>
      </c>
      <c r="B404" t="s">
        <v>124</v>
      </c>
      <c r="C404">
        <v>847</v>
      </c>
      <c r="D404" t="s">
        <v>162</v>
      </c>
      <c r="E404" s="6">
        <v>125.59</v>
      </c>
    </row>
    <row r="405" spans="1:5" ht="15" customHeight="1" x14ac:dyDescent="0.25">
      <c r="A405">
        <v>71</v>
      </c>
      <c r="B405" t="s">
        <v>124</v>
      </c>
      <c r="C405">
        <v>877</v>
      </c>
      <c r="D405" t="s">
        <v>163</v>
      </c>
      <c r="E405" s="6">
        <v>140.34</v>
      </c>
    </row>
    <row r="406" spans="1:5" ht="15" customHeight="1" x14ac:dyDescent="0.25">
      <c r="A406">
        <v>71</v>
      </c>
      <c r="B406" t="s">
        <v>124</v>
      </c>
      <c r="C406">
        <v>898</v>
      </c>
      <c r="D406" t="s">
        <v>164</v>
      </c>
      <c r="E406" s="6">
        <v>128.29</v>
      </c>
    </row>
    <row r="407" spans="1:5" ht="15" customHeight="1" x14ac:dyDescent="0.25">
      <c r="A407">
        <v>71</v>
      </c>
      <c r="B407" t="s">
        <v>124</v>
      </c>
      <c r="C407">
        <v>899</v>
      </c>
      <c r="D407" t="s">
        <v>165</v>
      </c>
      <c r="E407" s="6">
        <v>122.32</v>
      </c>
    </row>
    <row r="408" spans="1:5" ht="15" customHeight="1" x14ac:dyDescent="0.25">
      <c r="A408">
        <v>71</v>
      </c>
      <c r="B408" t="s">
        <v>124</v>
      </c>
      <c r="C408">
        <v>1912</v>
      </c>
      <c r="D408" t="s">
        <v>166</v>
      </c>
      <c r="E408" s="6">
        <v>141.5</v>
      </c>
    </row>
    <row r="409" spans="1:5" ht="15" customHeight="1" x14ac:dyDescent="0.25">
      <c r="A409">
        <v>71</v>
      </c>
      <c r="B409" t="s">
        <v>124</v>
      </c>
      <c r="C409">
        <v>9999</v>
      </c>
      <c r="D409" t="s">
        <v>117</v>
      </c>
      <c r="E409" s="6">
        <v>125.67</v>
      </c>
    </row>
    <row r="410" spans="1:5" ht="15" customHeight="1" x14ac:dyDescent="0.25">
      <c r="A410">
        <v>384</v>
      </c>
      <c r="B410" t="s">
        <v>125</v>
      </c>
      <c r="C410">
        <v>1</v>
      </c>
      <c r="D410" t="s">
        <v>117</v>
      </c>
      <c r="E410" s="6">
        <v>0.87</v>
      </c>
    </row>
    <row r="411" spans="1:5" ht="15" customHeight="1" x14ac:dyDescent="0.25">
      <c r="A411">
        <v>384</v>
      </c>
      <c r="B411" t="s">
        <v>125</v>
      </c>
      <c r="C411">
        <v>3</v>
      </c>
      <c r="D411" t="s">
        <v>118</v>
      </c>
      <c r="E411" s="6">
        <v>59.32</v>
      </c>
    </row>
    <row r="412" spans="1:5" ht="15" customHeight="1" x14ac:dyDescent="0.25">
      <c r="A412">
        <v>384</v>
      </c>
      <c r="B412" t="s">
        <v>125</v>
      </c>
      <c r="C412">
        <v>5</v>
      </c>
      <c r="D412" t="s">
        <v>119</v>
      </c>
      <c r="E412" s="6">
        <v>106.72</v>
      </c>
    </row>
    <row r="413" spans="1:5" ht="15" customHeight="1" x14ac:dyDescent="0.25">
      <c r="A413">
        <v>384</v>
      </c>
      <c r="B413" t="s">
        <v>125</v>
      </c>
      <c r="C413">
        <v>11</v>
      </c>
      <c r="D413" t="s">
        <v>120</v>
      </c>
      <c r="E413" s="6">
        <v>86.13</v>
      </c>
    </row>
    <row r="414" spans="1:5" ht="15" customHeight="1" x14ac:dyDescent="0.25">
      <c r="A414">
        <v>384</v>
      </c>
      <c r="B414" t="s">
        <v>125</v>
      </c>
      <c r="C414">
        <v>12</v>
      </c>
      <c r="D414" t="s">
        <v>121</v>
      </c>
      <c r="E414" s="6">
        <v>55.5</v>
      </c>
    </row>
    <row r="415" spans="1:5" ht="15" customHeight="1" x14ac:dyDescent="0.25">
      <c r="A415">
        <v>384</v>
      </c>
      <c r="B415" t="s">
        <v>125</v>
      </c>
      <c r="C415">
        <v>29</v>
      </c>
      <c r="D415" t="s">
        <v>122</v>
      </c>
      <c r="E415" s="6">
        <v>120.1</v>
      </c>
    </row>
    <row r="416" spans="1:5" ht="15" customHeight="1" x14ac:dyDescent="0.25">
      <c r="A416">
        <v>384</v>
      </c>
      <c r="B416" t="s">
        <v>125</v>
      </c>
      <c r="C416">
        <v>70</v>
      </c>
      <c r="D416" t="s">
        <v>123</v>
      </c>
      <c r="E416" s="6">
        <v>81.819999999999993</v>
      </c>
    </row>
    <row r="417" spans="1:5" ht="15" customHeight="1" x14ac:dyDescent="0.25">
      <c r="A417">
        <v>384</v>
      </c>
      <c r="B417" t="s">
        <v>125</v>
      </c>
      <c r="C417">
        <v>71</v>
      </c>
      <c r="D417" t="s">
        <v>124</v>
      </c>
      <c r="E417" s="6">
        <v>125.37</v>
      </c>
    </row>
    <row r="418" spans="1:5" ht="15" customHeight="1" x14ac:dyDescent="0.25">
      <c r="A418">
        <v>384</v>
      </c>
      <c r="B418" t="s">
        <v>125</v>
      </c>
      <c r="C418">
        <v>384</v>
      </c>
      <c r="D418" t="s">
        <v>125</v>
      </c>
      <c r="E418" s="6">
        <v>0</v>
      </c>
    </row>
    <row r="419" spans="1:5" ht="15" customHeight="1" x14ac:dyDescent="0.25">
      <c r="A419">
        <v>384</v>
      </c>
      <c r="B419" t="s">
        <v>125</v>
      </c>
      <c r="C419">
        <v>429</v>
      </c>
      <c r="D419" t="s">
        <v>126</v>
      </c>
      <c r="E419" s="6">
        <v>69.290000000000006</v>
      </c>
    </row>
    <row r="420" spans="1:5" ht="15" customHeight="1" x14ac:dyDescent="0.25">
      <c r="A420">
        <v>384</v>
      </c>
      <c r="B420" t="s">
        <v>125</v>
      </c>
      <c r="C420">
        <v>486</v>
      </c>
      <c r="D420" t="s">
        <v>127</v>
      </c>
      <c r="E420" s="6">
        <v>67.349999999999994</v>
      </c>
    </row>
    <row r="421" spans="1:5" ht="15" customHeight="1" x14ac:dyDescent="0.25">
      <c r="A421">
        <v>384</v>
      </c>
      <c r="B421" t="s">
        <v>125</v>
      </c>
      <c r="C421">
        <v>546</v>
      </c>
      <c r="D421" t="s">
        <v>128</v>
      </c>
      <c r="E421" s="6">
        <v>73.34</v>
      </c>
    </row>
    <row r="422" spans="1:5" ht="15" customHeight="1" x14ac:dyDescent="0.25">
      <c r="A422">
        <v>384</v>
      </c>
      <c r="B422" t="s">
        <v>125</v>
      </c>
      <c r="C422">
        <v>599</v>
      </c>
      <c r="D422" t="s">
        <v>129</v>
      </c>
      <c r="E422" s="6">
        <v>6.05</v>
      </c>
    </row>
    <row r="423" spans="1:5" ht="15" customHeight="1" x14ac:dyDescent="0.25">
      <c r="A423">
        <v>384</v>
      </c>
      <c r="B423" t="s">
        <v>125</v>
      </c>
      <c r="C423">
        <v>620</v>
      </c>
      <c r="D423" t="s">
        <v>130</v>
      </c>
      <c r="E423" s="6">
        <v>40.659999999999997</v>
      </c>
    </row>
    <row r="424" spans="1:5" ht="15" customHeight="1" x14ac:dyDescent="0.25">
      <c r="A424">
        <v>384</v>
      </c>
      <c r="B424" t="s">
        <v>125</v>
      </c>
      <c r="C424">
        <v>626</v>
      </c>
      <c r="D424" t="s">
        <v>131</v>
      </c>
      <c r="E424" s="6">
        <v>4.0999999999999996</v>
      </c>
    </row>
    <row r="425" spans="1:5" ht="15" customHeight="1" x14ac:dyDescent="0.25">
      <c r="A425">
        <v>384</v>
      </c>
      <c r="B425" t="s">
        <v>125</v>
      </c>
      <c r="C425">
        <v>627</v>
      </c>
      <c r="D425" t="s">
        <v>132</v>
      </c>
      <c r="E425" s="6">
        <v>4.4000000000000004</v>
      </c>
    </row>
    <row r="426" spans="1:5" ht="15" customHeight="1" x14ac:dyDescent="0.25">
      <c r="A426">
        <v>384</v>
      </c>
      <c r="B426" t="s">
        <v>125</v>
      </c>
      <c r="C426">
        <v>651</v>
      </c>
      <c r="D426" t="s">
        <v>133</v>
      </c>
      <c r="E426" s="6">
        <v>1.62</v>
      </c>
    </row>
    <row r="427" spans="1:5" ht="15" customHeight="1" x14ac:dyDescent="0.25">
      <c r="A427">
        <v>384</v>
      </c>
      <c r="B427" t="s">
        <v>125</v>
      </c>
      <c r="C427">
        <v>668</v>
      </c>
      <c r="D427" t="s">
        <v>134</v>
      </c>
      <c r="E427" s="6">
        <v>4.1100000000000003</v>
      </c>
    </row>
    <row r="428" spans="1:5" ht="15" customHeight="1" x14ac:dyDescent="0.25">
      <c r="A428">
        <v>384</v>
      </c>
      <c r="B428" t="s">
        <v>125</v>
      </c>
      <c r="C428">
        <v>681</v>
      </c>
      <c r="D428" t="s">
        <v>135</v>
      </c>
      <c r="E428" s="6">
        <v>2.7</v>
      </c>
    </row>
    <row r="429" spans="1:5" ht="15" customHeight="1" x14ac:dyDescent="0.25">
      <c r="A429">
        <v>384</v>
      </c>
      <c r="B429" t="s">
        <v>125</v>
      </c>
      <c r="C429">
        <v>682</v>
      </c>
      <c r="D429" t="s">
        <v>136</v>
      </c>
      <c r="E429" s="6">
        <v>1.2</v>
      </c>
    </row>
    <row r="430" spans="1:5" ht="15" customHeight="1" x14ac:dyDescent="0.25">
      <c r="A430">
        <v>384</v>
      </c>
      <c r="B430" t="s">
        <v>125</v>
      </c>
      <c r="C430">
        <v>683</v>
      </c>
      <c r="D430" t="s">
        <v>137</v>
      </c>
      <c r="E430" s="6">
        <v>0.54</v>
      </c>
    </row>
    <row r="431" spans="1:5" ht="15" customHeight="1" x14ac:dyDescent="0.25">
      <c r="A431">
        <v>384</v>
      </c>
      <c r="B431" t="s">
        <v>125</v>
      </c>
      <c r="C431">
        <v>684</v>
      </c>
      <c r="D431" t="s">
        <v>138</v>
      </c>
      <c r="E431" s="6">
        <v>1.94</v>
      </c>
    </row>
    <row r="432" spans="1:5" ht="15" customHeight="1" x14ac:dyDescent="0.25">
      <c r="A432">
        <v>384</v>
      </c>
      <c r="B432" t="s">
        <v>125</v>
      </c>
      <c r="C432">
        <v>685</v>
      </c>
      <c r="D432" t="s">
        <v>139</v>
      </c>
      <c r="E432" s="6">
        <v>1.63</v>
      </c>
    </row>
    <row r="433" spans="1:5" ht="15" customHeight="1" x14ac:dyDescent="0.25">
      <c r="A433">
        <v>384</v>
      </c>
      <c r="B433" t="s">
        <v>125</v>
      </c>
      <c r="C433">
        <v>691</v>
      </c>
      <c r="D433" t="s">
        <v>140</v>
      </c>
      <c r="E433" s="6">
        <v>2.76</v>
      </c>
    </row>
    <row r="434" spans="1:5" ht="15" customHeight="1" x14ac:dyDescent="0.25">
      <c r="A434">
        <v>384</v>
      </c>
      <c r="B434" t="s">
        <v>125</v>
      </c>
      <c r="C434">
        <v>706</v>
      </c>
      <c r="D434" t="s">
        <v>141</v>
      </c>
      <c r="E434" s="6">
        <v>1.18</v>
      </c>
    </row>
    <row r="435" spans="1:5" ht="15" customHeight="1" x14ac:dyDescent="0.25">
      <c r="A435">
        <v>384</v>
      </c>
      <c r="B435" t="s">
        <v>125</v>
      </c>
      <c r="C435">
        <v>713</v>
      </c>
      <c r="D435" t="s">
        <v>142</v>
      </c>
      <c r="E435" s="6">
        <v>2.59</v>
      </c>
    </row>
    <row r="436" spans="1:5" ht="15" customHeight="1" x14ac:dyDescent="0.25">
      <c r="A436">
        <v>384</v>
      </c>
      <c r="B436" t="s">
        <v>125</v>
      </c>
      <c r="C436">
        <v>718</v>
      </c>
      <c r="D436" t="s">
        <v>143</v>
      </c>
      <c r="E436" s="6">
        <v>2.78</v>
      </c>
    </row>
    <row r="437" spans="1:5" ht="15" customHeight="1" x14ac:dyDescent="0.25">
      <c r="A437">
        <v>384</v>
      </c>
      <c r="B437" t="s">
        <v>125</v>
      </c>
      <c r="C437">
        <v>731</v>
      </c>
      <c r="D437" t="s">
        <v>144</v>
      </c>
      <c r="E437" s="6">
        <v>31.2</v>
      </c>
    </row>
    <row r="438" spans="1:5" ht="15" customHeight="1" x14ac:dyDescent="0.25">
      <c r="A438">
        <v>384</v>
      </c>
      <c r="B438" t="s">
        <v>125</v>
      </c>
      <c r="C438">
        <v>743</v>
      </c>
      <c r="D438" t="s">
        <v>145</v>
      </c>
      <c r="E438" s="6">
        <v>14.78</v>
      </c>
    </row>
    <row r="439" spans="1:5" ht="15" customHeight="1" x14ac:dyDescent="0.25">
      <c r="A439">
        <v>384</v>
      </c>
      <c r="B439" t="s">
        <v>125</v>
      </c>
      <c r="C439">
        <v>760</v>
      </c>
      <c r="D439" t="s">
        <v>146</v>
      </c>
      <c r="E439" s="6">
        <v>2.23</v>
      </c>
    </row>
    <row r="440" spans="1:5" ht="15" customHeight="1" x14ac:dyDescent="0.25">
      <c r="A440">
        <v>384</v>
      </c>
      <c r="B440" t="s">
        <v>125</v>
      </c>
      <c r="C440">
        <v>765</v>
      </c>
      <c r="D440" t="s">
        <v>147</v>
      </c>
      <c r="E440" s="6">
        <v>5.05</v>
      </c>
    </row>
    <row r="441" spans="1:5" ht="15" customHeight="1" x14ac:dyDescent="0.25">
      <c r="A441">
        <v>384</v>
      </c>
      <c r="B441" t="s">
        <v>125</v>
      </c>
      <c r="C441">
        <v>766</v>
      </c>
      <c r="D441" t="s">
        <v>148</v>
      </c>
      <c r="E441" s="6">
        <v>1.61</v>
      </c>
    </row>
    <row r="442" spans="1:5" ht="15" customHeight="1" x14ac:dyDescent="0.25">
      <c r="A442">
        <v>384</v>
      </c>
      <c r="B442" t="s">
        <v>125</v>
      </c>
      <c r="C442">
        <v>767</v>
      </c>
      <c r="D442" t="s">
        <v>149</v>
      </c>
      <c r="E442" s="6">
        <v>5.47</v>
      </c>
    </row>
    <row r="443" spans="1:5" ht="15" customHeight="1" x14ac:dyDescent="0.25">
      <c r="A443">
        <v>384</v>
      </c>
      <c r="B443" t="s">
        <v>125</v>
      </c>
      <c r="C443">
        <v>795</v>
      </c>
      <c r="D443" t="s">
        <v>150</v>
      </c>
      <c r="E443" s="6">
        <v>1.44</v>
      </c>
    </row>
    <row r="444" spans="1:5" ht="15" customHeight="1" x14ac:dyDescent="0.25">
      <c r="A444">
        <v>384</v>
      </c>
      <c r="B444" t="s">
        <v>125</v>
      </c>
      <c r="C444">
        <v>798</v>
      </c>
      <c r="D444" t="s">
        <v>151</v>
      </c>
      <c r="E444" s="6">
        <v>4.24</v>
      </c>
    </row>
    <row r="445" spans="1:5" ht="15" customHeight="1" x14ac:dyDescent="0.25">
      <c r="A445">
        <v>384</v>
      </c>
      <c r="B445" t="s">
        <v>125</v>
      </c>
      <c r="C445">
        <v>799</v>
      </c>
      <c r="D445" t="s">
        <v>152</v>
      </c>
      <c r="E445" s="6">
        <v>3.92</v>
      </c>
    </row>
    <row r="446" spans="1:5" ht="15" customHeight="1" x14ac:dyDescent="0.25">
      <c r="A446">
        <v>384</v>
      </c>
      <c r="B446" t="s">
        <v>125</v>
      </c>
      <c r="C446">
        <v>811</v>
      </c>
      <c r="D446" t="s">
        <v>153</v>
      </c>
      <c r="E446" s="6">
        <v>5.93</v>
      </c>
    </row>
    <row r="447" spans="1:5" ht="15" customHeight="1" x14ac:dyDescent="0.25">
      <c r="A447">
        <v>384</v>
      </c>
      <c r="B447" t="s">
        <v>125</v>
      </c>
      <c r="C447">
        <v>820</v>
      </c>
      <c r="D447" t="s">
        <v>154</v>
      </c>
      <c r="E447" s="6">
        <v>3.16</v>
      </c>
    </row>
    <row r="448" spans="1:5" ht="15" customHeight="1" x14ac:dyDescent="0.25">
      <c r="A448">
        <v>384</v>
      </c>
      <c r="B448" t="s">
        <v>125</v>
      </c>
      <c r="C448">
        <v>830</v>
      </c>
      <c r="D448" t="s">
        <v>155</v>
      </c>
      <c r="E448" s="6">
        <v>3.37</v>
      </c>
    </row>
    <row r="449" spans="1:5" ht="15" customHeight="1" x14ac:dyDescent="0.25">
      <c r="A449">
        <v>384</v>
      </c>
      <c r="B449" t="s">
        <v>125</v>
      </c>
      <c r="C449">
        <v>831</v>
      </c>
      <c r="D449" t="s">
        <v>156</v>
      </c>
      <c r="E449" s="6">
        <v>8.2799999999999994</v>
      </c>
    </row>
    <row r="450" spans="1:5" ht="15" customHeight="1" x14ac:dyDescent="0.25">
      <c r="A450">
        <v>384</v>
      </c>
      <c r="B450" t="s">
        <v>125</v>
      </c>
      <c r="C450">
        <v>832</v>
      </c>
      <c r="D450" t="s">
        <v>157</v>
      </c>
      <c r="E450" s="6">
        <v>3.44</v>
      </c>
    </row>
    <row r="451" spans="1:5" ht="15" customHeight="1" x14ac:dyDescent="0.25">
      <c r="A451">
        <v>384</v>
      </c>
      <c r="B451" t="s">
        <v>125</v>
      </c>
      <c r="C451">
        <v>833</v>
      </c>
      <c r="D451" t="s">
        <v>158</v>
      </c>
      <c r="E451" s="6">
        <v>2.39</v>
      </c>
    </row>
    <row r="452" spans="1:5" ht="15" customHeight="1" x14ac:dyDescent="0.25">
      <c r="A452">
        <v>384</v>
      </c>
      <c r="B452" t="s">
        <v>125</v>
      </c>
      <c r="C452">
        <v>840</v>
      </c>
      <c r="D452" t="s">
        <v>159</v>
      </c>
      <c r="E452" s="6">
        <v>5.65</v>
      </c>
    </row>
    <row r="453" spans="1:5" ht="15" customHeight="1" x14ac:dyDescent="0.25">
      <c r="A453">
        <v>384</v>
      </c>
      <c r="B453" t="s">
        <v>125</v>
      </c>
      <c r="C453">
        <v>841</v>
      </c>
      <c r="D453" t="s">
        <v>160</v>
      </c>
      <c r="E453" s="6">
        <v>1.31</v>
      </c>
    </row>
    <row r="454" spans="1:5" ht="15" customHeight="1" x14ac:dyDescent="0.25">
      <c r="A454">
        <v>384</v>
      </c>
      <c r="B454" t="s">
        <v>125</v>
      </c>
      <c r="C454">
        <v>842</v>
      </c>
      <c r="D454" t="s">
        <v>161</v>
      </c>
      <c r="E454" s="6">
        <v>4.12</v>
      </c>
    </row>
    <row r="455" spans="1:5" ht="15" customHeight="1" x14ac:dyDescent="0.25">
      <c r="A455">
        <v>384</v>
      </c>
      <c r="B455" t="s">
        <v>125</v>
      </c>
      <c r="C455">
        <v>847</v>
      </c>
      <c r="D455" t="s">
        <v>162</v>
      </c>
      <c r="E455" s="6">
        <v>1.33</v>
      </c>
    </row>
    <row r="456" spans="1:5" ht="15" customHeight="1" x14ac:dyDescent="0.25">
      <c r="A456">
        <v>384</v>
      </c>
      <c r="B456" t="s">
        <v>125</v>
      </c>
      <c r="C456">
        <v>877</v>
      </c>
      <c r="D456" t="s">
        <v>163</v>
      </c>
      <c r="E456" s="6">
        <v>21.72</v>
      </c>
    </row>
    <row r="457" spans="1:5" ht="15" customHeight="1" x14ac:dyDescent="0.25">
      <c r="A457">
        <v>384</v>
      </c>
      <c r="B457" t="s">
        <v>125</v>
      </c>
      <c r="C457">
        <v>898</v>
      </c>
      <c r="D457" t="s">
        <v>164</v>
      </c>
      <c r="E457" s="6">
        <v>4.9400000000000004</v>
      </c>
    </row>
    <row r="458" spans="1:5" ht="15" customHeight="1" x14ac:dyDescent="0.25">
      <c r="A458">
        <v>384</v>
      </c>
      <c r="B458" t="s">
        <v>125</v>
      </c>
      <c r="C458">
        <v>899</v>
      </c>
      <c r="D458" t="s">
        <v>165</v>
      </c>
      <c r="E458" s="6">
        <v>4.5199999999999996</v>
      </c>
    </row>
    <row r="459" spans="1:5" ht="15" customHeight="1" x14ac:dyDescent="0.25">
      <c r="A459">
        <v>384</v>
      </c>
      <c r="B459" t="s">
        <v>125</v>
      </c>
      <c r="C459">
        <v>1912</v>
      </c>
      <c r="D459" t="s">
        <v>166</v>
      </c>
      <c r="E459" s="6">
        <v>26.75</v>
      </c>
    </row>
    <row r="460" spans="1:5" ht="15" customHeight="1" x14ac:dyDescent="0.25">
      <c r="A460">
        <v>384</v>
      </c>
      <c r="B460" t="s">
        <v>125</v>
      </c>
      <c r="C460">
        <v>9999</v>
      </c>
      <c r="D460" t="s">
        <v>117</v>
      </c>
      <c r="E460" s="6">
        <v>0.87</v>
      </c>
    </row>
    <row r="461" spans="1:5" ht="15" customHeight="1" x14ac:dyDescent="0.25">
      <c r="A461">
        <v>429</v>
      </c>
      <c r="B461" t="s">
        <v>126</v>
      </c>
      <c r="C461">
        <v>1</v>
      </c>
      <c r="D461" t="s">
        <v>117</v>
      </c>
      <c r="E461" s="6">
        <v>69.59</v>
      </c>
    </row>
    <row r="462" spans="1:5" ht="15" customHeight="1" x14ac:dyDescent="0.25">
      <c r="A462">
        <v>429</v>
      </c>
      <c r="B462" t="s">
        <v>126</v>
      </c>
      <c r="C462">
        <v>3</v>
      </c>
      <c r="D462" t="s">
        <v>118</v>
      </c>
      <c r="E462" s="6">
        <v>114.41</v>
      </c>
    </row>
    <row r="463" spans="1:5" ht="15" customHeight="1" x14ac:dyDescent="0.25">
      <c r="A463">
        <v>429</v>
      </c>
      <c r="B463" t="s">
        <v>126</v>
      </c>
      <c r="C463">
        <v>5</v>
      </c>
      <c r="D463" t="s">
        <v>119</v>
      </c>
      <c r="E463" s="6">
        <v>154.16999999999999</v>
      </c>
    </row>
    <row r="464" spans="1:5" ht="15" customHeight="1" x14ac:dyDescent="0.25">
      <c r="A464">
        <v>429</v>
      </c>
      <c r="B464" t="s">
        <v>126</v>
      </c>
      <c r="C464">
        <v>11</v>
      </c>
      <c r="D464" t="s">
        <v>120</v>
      </c>
      <c r="E464" s="6">
        <v>151.84</v>
      </c>
    </row>
    <row r="465" spans="1:5" ht="15" customHeight="1" x14ac:dyDescent="0.25">
      <c r="A465">
        <v>429</v>
      </c>
      <c r="B465" t="s">
        <v>126</v>
      </c>
      <c r="C465">
        <v>12</v>
      </c>
      <c r="D465" t="s">
        <v>121</v>
      </c>
      <c r="E465" s="6">
        <v>71.08</v>
      </c>
    </row>
    <row r="466" spans="1:5" ht="15" customHeight="1" x14ac:dyDescent="0.25">
      <c r="A466">
        <v>429</v>
      </c>
      <c r="B466" t="s">
        <v>126</v>
      </c>
      <c r="C466">
        <v>29</v>
      </c>
      <c r="D466" t="s">
        <v>122</v>
      </c>
      <c r="E466" s="6">
        <v>146.54</v>
      </c>
    </row>
    <row r="467" spans="1:5" ht="15" customHeight="1" x14ac:dyDescent="0.25">
      <c r="A467">
        <v>429</v>
      </c>
      <c r="B467" t="s">
        <v>126</v>
      </c>
      <c r="C467">
        <v>70</v>
      </c>
      <c r="D467" t="s">
        <v>123</v>
      </c>
      <c r="E467" s="6">
        <v>52.99</v>
      </c>
    </row>
    <row r="468" spans="1:5" ht="15" customHeight="1" x14ac:dyDescent="0.25">
      <c r="A468">
        <v>429</v>
      </c>
      <c r="B468" t="s">
        <v>126</v>
      </c>
      <c r="C468">
        <v>71</v>
      </c>
      <c r="D468" t="s">
        <v>124</v>
      </c>
      <c r="E468" s="6">
        <v>56.08</v>
      </c>
    </row>
    <row r="469" spans="1:5" ht="15" customHeight="1" x14ac:dyDescent="0.25">
      <c r="A469">
        <v>429</v>
      </c>
      <c r="B469" t="s">
        <v>126</v>
      </c>
      <c r="C469">
        <v>384</v>
      </c>
      <c r="D469" t="s">
        <v>125</v>
      </c>
      <c r="E469" s="6">
        <v>69.290000000000006</v>
      </c>
    </row>
    <row r="470" spans="1:5" ht="15" customHeight="1" x14ac:dyDescent="0.25">
      <c r="A470">
        <v>429</v>
      </c>
      <c r="B470" t="s">
        <v>126</v>
      </c>
      <c r="C470">
        <v>429</v>
      </c>
      <c r="D470" t="s">
        <v>126</v>
      </c>
      <c r="E470" s="6">
        <v>0</v>
      </c>
    </row>
    <row r="471" spans="1:5" ht="15" customHeight="1" x14ac:dyDescent="0.25">
      <c r="A471">
        <v>429</v>
      </c>
      <c r="B471" t="s">
        <v>126</v>
      </c>
      <c r="C471">
        <v>486</v>
      </c>
      <c r="D471" t="s">
        <v>127</v>
      </c>
      <c r="E471" s="6">
        <v>89.63</v>
      </c>
    </row>
    <row r="472" spans="1:5" ht="15" customHeight="1" x14ac:dyDescent="0.25">
      <c r="A472">
        <v>429</v>
      </c>
      <c r="B472" t="s">
        <v>126</v>
      </c>
      <c r="C472">
        <v>546</v>
      </c>
      <c r="D472" t="s">
        <v>128</v>
      </c>
      <c r="E472" s="6">
        <v>118.29</v>
      </c>
    </row>
    <row r="473" spans="1:5" ht="15" customHeight="1" x14ac:dyDescent="0.25">
      <c r="A473">
        <v>429</v>
      </c>
      <c r="B473" t="s">
        <v>126</v>
      </c>
      <c r="C473">
        <v>599</v>
      </c>
      <c r="D473" t="s">
        <v>129</v>
      </c>
      <c r="E473" s="6">
        <v>71.12</v>
      </c>
    </row>
    <row r="474" spans="1:5" ht="15" customHeight="1" x14ac:dyDescent="0.25">
      <c r="A474">
        <v>429</v>
      </c>
      <c r="B474" t="s">
        <v>126</v>
      </c>
      <c r="C474">
        <v>620</v>
      </c>
      <c r="D474" t="s">
        <v>130</v>
      </c>
      <c r="E474" s="6">
        <v>52.67</v>
      </c>
    </row>
    <row r="475" spans="1:5" ht="15" customHeight="1" x14ac:dyDescent="0.25">
      <c r="A475">
        <v>429</v>
      </c>
      <c r="B475" t="s">
        <v>126</v>
      </c>
      <c r="C475">
        <v>626</v>
      </c>
      <c r="D475" t="s">
        <v>131</v>
      </c>
      <c r="E475" s="6">
        <v>72.89</v>
      </c>
    </row>
    <row r="476" spans="1:5" ht="15" customHeight="1" x14ac:dyDescent="0.25">
      <c r="A476">
        <v>429</v>
      </c>
      <c r="B476" t="s">
        <v>126</v>
      </c>
      <c r="C476">
        <v>627</v>
      </c>
      <c r="D476" t="s">
        <v>132</v>
      </c>
      <c r="E476" s="6">
        <v>65.12</v>
      </c>
    </row>
    <row r="477" spans="1:5" ht="15" customHeight="1" x14ac:dyDescent="0.25">
      <c r="A477">
        <v>429</v>
      </c>
      <c r="B477" t="s">
        <v>126</v>
      </c>
      <c r="C477">
        <v>651</v>
      </c>
      <c r="D477" t="s">
        <v>133</v>
      </c>
      <c r="E477" s="6">
        <v>68.58</v>
      </c>
    </row>
    <row r="478" spans="1:5" ht="15" customHeight="1" x14ac:dyDescent="0.25">
      <c r="A478">
        <v>429</v>
      </c>
      <c r="B478" t="s">
        <v>126</v>
      </c>
      <c r="C478">
        <v>668</v>
      </c>
      <c r="D478" t="s">
        <v>134</v>
      </c>
      <c r="E478" s="6">
        <v>71.06</v>
      </c>
    </row>
    <row r="479" spans="1:5" ht="15" customHeight="1" x14ac:dyDescent="0.25">
      <c r="A479">
        <v>429</v>
      </c>
      <c r="B479" t="s">
        <v>126</v>
      </c>
      <c r="C479">
        <v>681</v>
      </c>
      <c r="D479" t="s">
        <v>135</v>
      </c>
      <c r="E479" s="6">
        <v>70.95</v>
      </c>
    </row>
    <row r="480" spans="1:5" ht="15" customHeight="1" x14ac:dyDescent="0.25">
      <c r="A480">
        <v>429</v>
      </c>
      <c r="B480" t="s">
        <v>126</v>
      </c>
      <c r="C480">
        <v>682</v>
      </c>
      <c r="D480" t="s">
        <v>136</v>
      </c>
      <c r="E480" s="6">
        <v>69.010000000000005</v>
      </c>
    </row>
    <row r="481" spans="1:5" ht="15" customHeight="1" x14ac:dyDescent="0.25">
      <c r="A481">
        <v>429</v>
      </c>
      <c r="B481" t="s">
        <v>126</v>
      </c>
      <c r="C481">
        <v>683</v>
      </c>
      <c r="D481" t="s">
        <v>137</v>
      </c>
      <c r="E481" s="6">
        <v>69.150000000000006</v>
      </c>
    </row>
    <row r="482" spans="1:5" ht="15" customHeight="1" x14ac:dyDescent="0.25">
      <c r="A482">
        <v>429</v>
      </c>
      <c r="B482" t="s">
        <v>126</v>
      </c>
      <c r="C482">
        <v>684</v>
      </c>
      <c r="D482" t="s">
        <v>138</v>
      </c>
      <c r="E482" s="6">
        <v>70.91</v>
      </c>
    </row>
    <row r="483" spans="1:5" ht="15" customHeight="1" x14ac:dyDescent="0.25">
      <c r="A483">
        <v>429</v>
      </c>
      <c r="B483" t="s">
        <v>126</v>
      </c>
      <c r="C483">
        <v>685</v>
      </c>
      <c r="D483" t="s">
        <v>139</v>
      </c>
      <c r="E483" s="6">
        <v>70.83</v>
      </c>
    </row>
    <row r="484" spans="1:5" ht="15" customHeight="1" x14ac:dyDescent="0.25">
      <c r="A484">
        <v>429</v>
      </c>
      <c r="B484" t="s">
        <v>126</v>
      </c>
      <c r="C484">
        <v>691</v>
      </c>
      <c r="D484" t="s">
        <v>140</v>
      </c>
      <c r="E484" s="6">
        <v>71.349999999999994</v>
      </c>
    </row>
    <row r="485" spans="1:5" ht="15" customHeight="1" x14ac:dyDescent="0.25">
      <c r="A485">
        <v>429</v>
      </c>
      <c r="B485" t="s">
        <v>126</v>
      </c>
      <c r="C485">
        <v>706</v>
      </c>
      <c r="D485" t="s">
        <v>141</v>
      </c>
      <c r="E485" s="6">
        <v>68.63</v>
      </c>
    </row>
    <row r="486" spans="1:5" ht="15" customHeight="1" x14ac:dyDescent="0.25">
      <c r="A486">
        <v>429</v>
      </c>
      <c r="B486" t="s">
        <v>126</v>
      </c>
      <c r="C486">
        <v>713</v>
      </c>
      <c r="D486" t="s">
        <v>142</v>
      </c>
      <c r="E486" s="6">
        <v>69.95</v>
      </c>
    </row>
    <row r="487" spans="1:5" ht="15" customHeight="1" x14ac:dyDescent="0.25">
      <c r="A487">
        <v>429</v>
      </c>
      <c r="B487" t="s">
        <v>126</v>
      </c>
      <c r="C487">
        <v>718</v>
      </c>
      <c r="D487" t="s">
        <v>143</v>
      </c>
      <c r="E487" s="6">
        <v>66.569999999999993</v>
      </c>
    </row>
    <row r="488" spans="1:5" ht="15" customHeight="1" x14ac:dyDescent="0.25">
      <c r="A488">
        <v>429</v>
      </c>
      <c r="B488" t="s">
        <v>126</v>
      </c>
      <c r="C488">
        <v>731</v>
      </c>
      <c r="D488" t="s">
        <v>144</v>
      </c>
      <c r="E488" s="6">
        <v>91.78</v>
      </c>
    </row>
    <row r="489" spans="1:5" ht="15" customHeight="1" x14ac:dyDescent="0.25">
      <c r="A489">
        <v>429</v>
      </c>
      <c r="B489" t="s">
        <v>126</v>
      </c>
      <c r="C489">
        <v>743</v>
      </c>
      <c r="D489" t="s">
        <v>145</v>
      </c>
      <c r="E489" s="6">
        <v>83.43</v>
      </c>
    </row>
    <row r="490" spans="1:5" ht="15" customHeight="1" x14ac:dyDescent="0.25">
      <c r="A490">
        <v>429</v>
      </c>
      <c r="B490" t="s">
        <v>126</v>
      </c>
      <c r="C490">
        <v>760</v>
      </c>
      <c r="D490" t="s">
        <v>146</v>
      </c>
      <c r="E490" s="6">
        <v>71.3</v>
      </c>
    </row>
    <row r="491" spans="1:5" ht="15" customHeight="1" x14ac:dyDescent="0.25">
      <c r="A491">
        <v>429</v>
      </c>
      <c r="B491" t="s">
        <v>126</v>
      </c>
      <c r="C491">
        <v>765</v>
      </c>
      <c r="D491" t="s">
        <v>147</v>
      </c>
      <c r="E491" s="6">
        <v>73.61</v>
      </c>
    </row>
    <row r="492" spans="1:5" ht="15" customHeight="1" x14ac:dyDescent="0.25">
      <c r="A492">
        <v>429</v>
      </c>
      <c r="B492" t="s">
        <v>126</v>
      </c>
      <c r="C492">
        <v>766</v>
      </c>
      <c r="D492" t="s">
        <v>148</v>
      </c>
      <c r="E492" s="6">
        <v>67.819999999999993</v>
      </c>
    </row>
    <row r="493" spans="1:5" ht="15" customHeight="1" x14ac:dyDescent="0.25">
      <c r="A493">
        <v>429</v>
      </c>
      <c r="B493" t="s">
        <v>126</v>
      </c>
      <c r="C493">
        <v>767</v>
      </c>
      <c r="D493" t="s">
        <v>149</v>
      </c>
      <c r="E493" s="6">
        <v>65.91</v>
      </c>
    </row>
    <row r="494" spans="1:5" ht="15" customHeight="1" x14ac:dyDescent="0.25">
      <c r="A494">
        <v>429</v>
      </c>
      <c r="B494" t="s">
        <v>126</v>
      </c>
      <c r="C494">
        <v>795</v>
      </c>
      <c r="D494" t="s">
        <v>150</v>
      </c>
      <c r="E494" s="6">
        <v>70.72</v>
      </c>
    </row>
    <row r="495" spans="1:5" ht="15" customHeight="1" x14ac:dyDescent="0.25">
      <c r="A495">
        <v>429</v>
      </c>
      <c r="B495" t="s">
        <v>126</v>
      </c>
      <c r="C495">
        <v>798</v>
      </c>
      <c r="D495" t="s">
        <v>151</v>
      </c>
      <c r="E495" s="6">
        <v>72.819999999999993</v>
      </c>
    </row>
    <row r="496" spans="1:5" ht="15" customHeight="1" x14ac:dyDescent="0.25">
      <c r="A496">
        <v>429</v>
      </c>
      <c r="B496" t="s">
        <v>126</v>
      </c>
      <c r="C496">
        <v>799</v>
      </c>
      <c r="D496" t="s">
        <v>152</v>
      </c>
      <c r="E496" s="6">
        <v>72.260000000000005</v>
      </c>
    </row>
    <row r="497" spans="1:5" ht="15" customHeight="1" x14ac:dyDescent="0.25">
      <c r="A497">
        <v>429</v>
      </c>
      <c r="B497" t="s">
        <v>126</v>
      </c>
      <c r="C497">
        <v>811</v>
      </c>
      <c r="D497" t="s">
        <v>153</v>
      </c>
      <c r="E497" s="6">
        <v>64.62</v>
      </c>
    </row>
    <row r="498" spans="1:5" ht="15" customHeight="1" x14ac:dyDescent="0.25">
      <c r="A498">
        <v>429</v>
      </c>
      <c r="B498" t="s">
        <v>126</v>
      </c>
      <c r="C498">
        <v>820</v>
      </c>
      <c r="D498" t="s">
        <v>154</v>
      </c>
      <c r="E498" s="6">
        <v>72.17</v>
      </c>
    </row>
    <row r="499" spans="1:5" ht="15" customHeight="1" x14ac:dyDescent="0.25">
      <c r="A499">
        <v>429</v>
      </c>
      <c r="B499" t="s">
        <v>126</v>
      </c>
      <c r="C499">
        <v>830</v>
      </c>
      <c r="D499" t="s">
        <v>155</v>
      </c>
      <c r="E499" s="6">
        <v>72.13</v>
      </c>
    </row>
    <row r="500" spans="1:5" ht="15" customHeight="1" x14ac:dyDescent="0.25">
      <c r="A500">
        <v>429</v>
      </c>
      <c r="B500" t="s">
        <v>126</v>
      </c>
      <c r="C500">
        <v>831</v>
      </c>
      <c r="D500" t="s">
        <v>156</v>
      </c>
      <c r="E500" s="6">
        <v>72.83</v>
      </c>
    </row>
    <row r="501" spans="1:5" ht="15" customHeight="1" x14ac:dyDescent="0.25">
      <c r="A501">
        <v>429</v>
      </c>
      <c r="B501" t="s">
        <v>126</v>
      </c>
      <c r="C501">
        <v>832</v>
      </c>
      <c r="D501" t="s">
        <v>157</v>
      </c>
      <c r="E501" s="6">
        <v>72.53</v>
      </c>
    </row>
    <row r="502" spans="1:5" ht="15" customHeight="1" x14ac:dyDescent="0.25">
      <c r="A502">
        <v>429</v>
      </c>
      <c r="B502" t="s">
        <v>126</v>
      </c>
      <c r="C502">
        <v>833</v>
      </c>
      <c r="D502" t="s">
        <v>158</v>
      </c>
      <c r="E502" s="6">
        <v>71.58</v>
      </c>
    </row>
    <row r="503" spans="1:5" ht="15" customHeight="1" x14ac:dyDescent="0.25">
      <c r="A503">
        <v>429</v>
      </c>
      <c r="B503" t="s">
        <v>126</v>
      </c>
      <c r="C503">
        <v>840</v>
      </c>
      <c r="D503" t="s">
        <v>159</v>
      </c>
      <c r="E503" s="6">
        <v>74.7</v>
      </c>
    </row>
    <row r="504" spans="1:5" ht="15" customHeight="1" x14ac:dyDescent="0.25">
      <c r="A504">
        <v>429</v>
      </c>
      <c r="B504" t="s">
        <v>126</v>
      </c>
      <c r="C504">
        <v>841</v>
      </c>
      <c r="D504" t="s">
        <v>160</v>
      </c>
      <c r="E504" s="6">
        <v>69.989999999999995</v>
      </c>
    </row>
    <row r="505" spans="1:5" ht="15" customHeight="1" x14ac:dyDescent="0.25">
      <c r="A505">
        <v>429</v>
      </c>
      <c r="B505" t="s">
        <v>126</v>
      </c>
      <c r="C505">
        <v>842</v>
      </c>
      <c r="D505" t="s">
        <v>161</v>
      </c>
      <c r="E505" s="6">
        <v>68.36</v>
      </c>
    </row>
    <row r="506" spans="1:5" ht="15" customHeight="1" x14ac:dyDescent="0.25">
      <c r="A506">
        <v>429</v>
      </c>
      <c r="B506" t="s">
        <v>126</v>
      </c>
      <c r="C506">
        <v>847</v>
      </c>
      <c r="D506" t="s">
        <v>162</v>
      </c>
      <c r="E506" s="6">
        <v>69.53</v>
      </c>
    </row>
    <row r="507" spans="1:5" ht="15" customHeight="1" x14ac:dyDescent="0.25">
      <c r="A507">
        <v>429</v>
      </c>
      <c r="B507" t="s">
        <v>126</v>
      </c>
      <c r="C507">
        <v>877</v>
      </c>
      <c r="D507" t="s">
        <v>163</v>
      </c>
      <c r="E507" s="6">
        <v>84.81</v>
      </c>
    </row>
    <row r="508" spans="1:5" ht="15" customHeight="1" x14ac:dyDescent="0.25">
      <c r="A508">
        <v>429</v>
      </c>
      <c r="B508" t="s">
        <v>126</v>
      </c>
      <c r="C508">
        <v>898</v>
      </c>
      <c r="D508" t="s">
        <v>164</v>
      </c>
      <c r="E508" s="6">
        <v>72.23</v>
      </c>
    </row>
    <row r="509" spans="1:5" ht="15" customHeight="1" x14ac:dyDescent="0.25">
      <c r="A509">
        <v>429</v>
      </c>
      <c r="B509" t="s">
        <v>126</v>
      </c>
      <c r="C509">
        <v>899</v>
      </c>
      <c r="D509" t="s">
        <v>165</v>
      </c>
      <c r="E509" s="6">
        <v>66.25</v>
      </c>
    </row>
    <row r="510" spans="1:5" ht="15" customHeight="1" x14ac:dyDescent="0.25">
      <c r="A510">
        <v>429</v>
      </c>
      <c r="B510" t="s">
        <v>126</v>
      </c>
      <c r="C510">
        <v>1912</v>
      </c>
      <c r="D510" t="s">
        <v>166</v>
      </c>
      <c r="E510" s="6">
        <v>86.47</v>
      </c>
    </row>
    <row r="511" spans="1:5" ht="15" customHeight="1" x14ac:dyDescent="0.25">
      <c r="A511">
        <v>429</v>
      </c>
      <c r="B511" t="s">
        <v>126</v>
      </c>
      <c r="C511">
        <v>9999</v>
      </c>
      <c r="D511" t="s">
        <v>117</v>
      </c>
      <c r="E511" s="6">
        <v>69.59</v>
      </c>
    </row>
    <row r="512" spans="1:5" ht="15" customHeight="1" x14ac:dyDescent="0.25">
      <c r="A512">
        <v>486</v>
      </c>
      <c r="B512" t="s">
        <v>127</v>
      </c>
      <c r="C512">
        <v>1</v>
      </c>
      <c r="D512" t="s">
        <v>117</v>
      </c>
      <c r="E512" s="6">
        <v>66.58</v>
      </c>
    </row>
    <row r="513" spans="1:5" ht="15" customHeight="1" x14ac:dyDescent="0.25">
      <c r="A513">
        <v>486</v>
      </c>
      <c r="B513" t="s">
        <v>127</v>
      </c>
      <c r="C513">
        <v>3</v>
      </c>
      <c r="D513" t="s">
        <v>118</v>
      </c>
      <c r="E513" s="6">
        <v>47.53</v>
      </c>
    </row>
    <row r="514" spans="1:5" ht="15" customHeight="1" x14ac:dyDescent="0.25">
      <c r="A514">
        <v>486</v>
      </c>
      <c r="B514" t="s">
        <v>127</v>
      </c>
      <c r="C514">
        <v>5</v>
      </c>
      <c r="D514" t="s">
        <v>119</v>
      </c>
      <c r="E514" s="6">
        <v>68.78</v>
      </c>
    </row>
    <row r="515" spans="1:5" ht="15" customHeight="1" x14ac:dyDescent="0.25">
      <c r="A515">
        <v>486</v>
      </c>
      <c r="B515" t="s">
        <v>127</v>
      </c>
      <c r="C515">
        <v>11</v>
      </c>
      <c r="D515" t="s">
        <v>120</v>
      </c>
      <c r="E515" s="6">
        <v>92.77</v>
      </c>
    </row>
    <row r="516" spans="1:5" ht="15" customHeight="1" x14ac:dyDescent="0.25">
      <c r="A516">
        <v>486</v>
      </c>
      <c r="B516" t="s">
        <v>127</v>
      </c>
      <c r="C516">
        <v>12</v>
      </c>
      <c r="D516" t="s">
        <v>121</v>
      </c>
      <c r="E516" s="6">
        <v>18.670000000000002</v>
      </c>
    </row>
    <row r="517" spans="1:5" ht="15" customHeight="1" x14ac:dyDescent="0.25">
      <c r="A517">
        <v>486</v>
      </c>
      <c r="B517" t="s">
        <v>127</v>
      </c>
      <c r="C517">
        <v>29</v>
      </c>
      <c r="D517" t="s">
        <v>122</v>
      </c>
      <c r="E517" s="6">
        <v>187.45</v>
      </c>
    </row>
    <row r="518" spans="1:5" ht="15" customHeight="1" x14ac:dyDescent="0.25">
      <c r="A518">
        <v>486</v>
      </c>
      <c r="B518" t="s">
        <v>127</v>
      </c>
      <c r="C518">
        <v>70</v>
      </c>
      <c r="D518" t="s">
        <v>123</v>
      </c>
      <c r="E518" s="6">
        <v>55.12</v>
      </c>
    </row>
    <row r="519" spans="1:5" ht="15" customHeight="1" x14ac:dyDescent="0.25">
      <c r="A519">
        <v>486</v>
      </c>
      <c r="B519" t="s">
        <v>127</v>
      </c>
      <c r="C519">
        <v>71</v>
      </c>
      <c r="D519" t="s">
        <v>124</v>
      </c>
      <c r="E519" s="6">
        <v>134.22999999999999</v>
      </c>
    </row>
    <row r="520" spans="1:5" ht="15" customHeight="1" x14ac:dyDescent="0.25">
      <c r="A520">
        <v>486</v>
      </c>
      <c r="B520" t="s">
        <v>127</v>
      </c>
      <c r="C520">
        <v>384</v>
      </c>
      <c r="D520" t="s">
        <v>125</v>
      </c>
      <c r="E520" s="6">
        <v>67.349999999999994</v>
      </c>
    </row>
    <row r="521" spans="1:5" ht="15" customHeight="1" x14ac:dyDescent="0.25">
      <c r="A521">
        <v>486</v>
      </c>
      <c r="B521" t="s">
        <v>127</v>
      </c>
      <c r="C521">
        <v>429</v>
      </c>
      <c r="D521" t="s">
        <v>126</v>
      </c>
      <c r="E521" s="6">
        <v>89.63</v>
      </c>
    </row>
    <row r="522" spans="1:5" ht="15" customHeight="1" x14ac:dyDescent="0.25">
      <c r="A522">
        <v>486</v>
      </c>
      <c r="B522" t="s">
        <v>127</v>
      </c>
      <c r="C522">
        <v>486</v>
      </c>
      <c r="D522" t="s">
        <v>127</v>
      </c>
      <c r="E522" s="6">
        <v>0</v>
      </c>
    </row>
    <row r="523" spans="1:5" ht="15" customHeight="1" x14ac:dyDescent="0.25">
      <c r="A523">
        <v>486</v>
      </c>
      <c r="B523" t="s">
        <v>127</v>
      </c>
      <c r="C523">
        <v>546</v>
      </c>
      <c r="D523" t="s">
        <v>128</v>
      </c>
      <c r="E523" s="6">
        <v>36.950000000000003</v>
      </c>
    </row>
    <row r="524" spans="1:5" ht="15" customHeight="1" x14ac:dyDescent="0.25">
      <c r="A524">
        <v>486</v>
      </c>
      <c r="B524" t="s">
        <v>127</v>
      </c>
      <c r="C524">
        <v>599</v>
      </c>
      <c r="D524" t="s">
        <v>129</v>
      </c>
      <c r="E524" s="6">
        <v>61.84</v>
      </c>
    </row>
    <row r="525" spans="1:5" ht="15" customHeight="1" x14ac:dyDescent="0.25">
      <c r="A525">
        <v>486</v>
      </c>
      <c r="B525" t="s">
        <v>127</v>
      </c>
      <c r="C525">
        <v>620</v>
      </c>
      <c r="D525" t="s">
        <v>130</v>
      </c>
      <c r="E525" s="6">
        <v>98.98</v>
      </c>
    </row>
    <row r="526" spans="1:5" ht="15" customHeight="1" x14ac:dyDescent="0.25">
      <c r="A526">
        <v>486</v>
      </c>
      <c r="B526" t="s">
        <v>127</v>
      </c>
      <c r="C526">
        <v>626</v>
      </c>
      <c r="D526" t="s">
        <v>131</v>
      </c>
      <c r="E526" s="6">
        <v>65.959999999999994</v>
      </c>
    </row>
    <row r="527" spans="1:5" ht="15" customHeight="1" x14ac:dyDescent="0.25">
      <c r="A527">
        <v>486</v>
      </c>
      <c r="B527" t="s">
        <v>127</v>
      </c>
      <c r="C527">
        <v>627</v>
      </c>
      <c r="D527" t="s">
        <v>132</v>
      </c>
      <c r="E527" s="6">
        <v>68.25</v>
      </c>
    </row>
    <row r="528" spans="1:5" ht="15" customHeight="1" x14ac:dyDescent="0.25">
      <c r="A528">
        <v>486</v>
      </c>
      <c r="B528" t="s">
        <v>127</v>
      </c>
      <c r="C528">
        <v>651</v>
      </c>
      <c r="D528" t="s">
        <v>133</v>
      </c>
      <c r="E528" s="6">
        <v>68.69</v>
      </c>
    </row>
    <row r="529" spans="1:5" ht="15" customHeight="1" x14ac:dyDescent="0.25">
      <c r="A529">
        <v>486</v>
      </c>
      <c r="B529" t="s">
        <v>127</v>
      </c>
      <c r="C529">
        <v>668</v>
      </c>
      <c r="D529" t="s">
        <v>134</v>
      </c>
      <c r="E529" s="6">
        <v>63.9</v>
      </c>
    </row>
    <row r="530" spans="1:5" ht="15" customHeight="1" x14ac:dyDescent="0.25">
      <c r="A530">
        <v>486</v>
      </c>
      <c r="B530" t="s">
        <v>127</v>
      </c>
      <c r="C530">
        <v>681</v>
      </c>
      <c r="D530" t="s">
        <v>135</v>
      </c>
      <c r="E530" s="6">
        <v>69.72</v>
      </c>
    </row>
    <row r="531" spans="1:5" ht="15" customHeight="1" x14ac:dyDescent="0.25">
      <c r="A531">
        <v>486</v>
      </c>
      <c r="B531" t="s">
        <v>127</v>
      </c>
      <c r="C531">
        <v>682</v>
      </c>
      <c r="D531" t="s">
        <v>136</v>
      </c>
      <c r="E531" s="6">
        <v>66.150000000000006</v>
      </c>
    </row>
    <row r="532" spans="1:5" ht="15" customHeight="1" x14ac:dyDescent="0.25">
      <c r="A532">
        <v>486</v>
      </c>
      <c r="B532" t="s">
        <v>127</v>
      </c>
      <c r="C532">
        <v>683</v>
      </c>
      <c r="D532" t="s">
        <v>137</v>
      </c>
      <c r="E532" s="6">
        <v>66.81</v>
      </c>
    </row>
    <row r="533" spans="1:5" ht="15" customHeight="1" x14ac:dyDescent="0.25">
      <c r="A533">
        <v>486</v>
      </c>
      <c r="B533" t="s">
        <v>127</v>
      </c>
      <c r="C533">
        <v>684</v>
      </c>
      <c r="D533" t="s">
        <v>138</v>
      </c>
      <c r="E533" s="6">
        <v>66.52</v>
      </c>
    </row>
    <row r="534" spans="1:5" ht="15" customHeight="1" x14ac:dyDescent="0.25">
      <c r="A534">
        <v>486</v>
      </c>
      <c r="B534" t="s">
        <v>127</v>
      </c>
      <c r="C534">
        <v>685</v>
      </c>
      <c r="D534" t="s">
        <v>139</v>
      </c>
      <c r="E534" s="6">
        <v>68.099999999999994</v>
      </c>
    </row>
    <row r="535" spans="1:5" ht="15" customHeight="1" x14ac:dyDescent="0.25">
      <c r="A535">
        <v>486</v>
      </c>
      <c r="B535" t="s">
        <v>127</v>
      </c>
      <c r="C535">
        <v>691</v>
      </c>
      <c r="D535" t="s">
        <v>140</v>
      </c>
      <c r="E535" s="6">
        <v>69.5</v>
      </c>
    </row>
    <row r="536" spans="1:5" ht="15" customHeight="1" x14ac:dyDescent="0.25">
      <c r="A536">
        <v>486</v>
      </c>
      <c r="B536" t="s">
        <v>127</v>
      </c>
      <c r="C536">
        <v>706</v>
      </c>
      <c r="D536" t="s">
        <v>141</v>
      </c>
      <c r="E536" s="6">
        <v>68.23</v>
      </c>
    </row>
    <row r="537" spans="1:5" ht="15" customHeight="1" x14ac:dyDescent="0.25">
      <c r="A537">
        <v>486</v>
      </c>
      <c r="B537" t="s">
        <v>127</v>
      </c>
      <c r="C537">
        <v>713</v>
      </c>
      <c r="D537" t="s">
        <v>142</v>
      </c>
      <c r="E537" s="6">
        <v>64.95</v>
      </c>
    </row>
    <row r="538" spans="1:5" ht="15" customHeight="1" x14ac:dyDescent="0.25">
      <c r="A538">
        <v>486</v>
      </c>
      <c r="B538" t="s">
        <v>127</v>
      </c>
      <c r="C538">
        <v>718</v>
      </c>
      <c r="D538" t="s">
        <v>143</v>
      </c>
      <c r="E538" s="6">
        <v>66.45</v>
      </c>
    </row>
    <row r="539" spans="1:5" ht="15" customHeight="1" x14ac:dyDescent="0.25">
      <c r="A539">
        <v>486</v>
      </c>
      <c r="B539" t="s">
        <v>127</v>
      </c>
      <c r="C539">
        <v>731</v>
      </c>
      <c r="D539" t="s">
        <v>144</v>
      </c>
      <c r="E539" s="6">
        <v>50.79</v>
      </c>
    </row>
    <row r="540" spans="1:5" ht="15" customHeight="1" x14ac:dyDescent="0.25">
      <c r="A540">
        <v>486</v>
      </c>
      <c r="B540" t="s">
        <v>127</v>
      </c>
      <c r="C540">
        <v>743</v>
      </c>
      <c r="D540" t="s">
        <v>145</v>
      </c>
      <c r="E540" s="6">
        <v>75.12</v>
      </c>
    </row>
    <row r="541" spans="1:5" ht="15" customHeight="1" x14ac:dyDescent="0.25">
      <c r="A541">
        <v>486</v>
      </c>
      <c r="B541" t="s">
        <v>127</v>
      </c>
      <c r="C541">
        <v>760</v>
      </c>
      <c r="D541" t="s">
        <v>146</v>
      </c>
      <c r="E541" s="6">
        <v>68.61</v>
      </c>
    </row>
    <row r="542" spans="1:5" ht="15" customHeight="1" x14ac:dyDescent="0.25">
      <c r="A542">
        <v>486</v>
      </c>
      <c r="B542" t="s">
        <v>127</v>
      </c>
      <c r="C542">
        <v>765</v>
      </c>
      <c r="D542" t="s">
        <v>147</v>
      </c>
      <c r="E542" s="6">
        <v>65.430000000000007</v>
      </c>
    </row>
    <row r="543" spans="1:5" ht="15" customHeight="1" x14ac:dyDescent="0.25">
      <c r="A543">
        <v>486</v>
      </c>
      <c r="B543" t="s">
        <v>127</v>
      </c>
      <c r="C543">
        <v>766</v>
      </c>
      <c r="D543" t="s">
        <v>148</v>
      </c>
      <c r="E543" s="6">
        <v>66.510000000000005</v>
      </c>
    </row>
    <row r="544" spans="1:5" ht="15" customHeight="1" x14ac:dyDescent="0.25">
      <c r="A544">
        <v>486</v>
      </c>
      <c r="B544" t="s">
        <v>127</v>
      </c>
      <c r="C544">
        <v>767</v>
      </c>
      <c r="D544" t="s">
        <v>149</v>
      </c>
      <c r="E544" s="6">
        <v>71.12</v>
      </c>
    </row>
    <row r="545" spans="1:5" ht="15" customHeight="1" x14ac:dyDescent="0.25">
      <c r="A545">
        <v>486</v>
      </c>
      <c r="B545" t="s">
        <v>127</v>
      </c>
      <c r="C545">
        <v>795</v>
      </c>
      <c r="D545" t="s">
        <v>150</v>
      </c>
      <c r="E545" s="6">
        <v>67.510000000000005</v>
      </c>
    </row>
    <row r="546" spans="1:5" ht="15" customHeight="1" x14ac:dyDescent="0.25">
      <c r="A546">
        <v>486</v>
      </c>
      <c r="B546" t="s">
        <v>127</v>
      </c>
      <c r="C546">
        <v>798</v>
      </c>
      <c r="D546" t="s">
        <v>151</v>
      </c>
      <c r="E546" s="6">
        <v>70.290000000000006</v>
      </c>
    </row>
    <row r="547" spans="1:5" ht="15" customHeight="1" x14ac:dyDescent="0.25">
      <c r="A547">
        <v>486</v>
      </c>
      <c r="B547" t="s">
        <v>127</v>
      </c>
      <c r="C547">
        <v>799</v>
      </c>
      <c r="D547" t="s">
        <v>152</v>
      </c>
      <c r="E547" s="6">
        <v>65.25</v>
      </c>
    </row>
    <row r="548" spans="1:5" ht="15" customHeight="1" x14ac:dyDescent="0.25">
      <c r="A548">
        <v>486</v>
      </c>
      <c r="B548" t="s">
        <v>127</v>
      </c>
      <c r="C548">
        <v>811</v>
      </c>
      <c r="D548" t="s">
        <v>153</v>
      </c>
      <c r="E548" s="6">
        <v>63.33</v>
      </c>
    </row>
    <row r="549" spans="1:5" ht="15" customHeight="1" x14ac:dyDescent="0.25">
      <c r="A549">
        <v>486</v>
      </c>
      <c r="B549" t="s">
        <v>127</v>
      </c>
      <c r="C549">
        <v>820</v>
      </c>
      <c r="D549" t="s">
        <v>154</v>
      </c>
      <c r="E549" s="6">
        <v>69.12</v>
      </c>
    </row>
    <row r="550" spans="1:5" ht="15" customHeight="1" x14ac:dyDescent="0.25">
      <c r="A550">
        <v>486</v>
      </c>
      <c r="B550" t="s">
        <v>127</v>
      </c>
      <c r="C550">
        <v>830</v>
      </c>
      <c r="D550" t="s">
        <v>155</v>
      </c>
      <c r="E550" s="6">
        <v>69.62</v>
      </c>
    </row>
    <row r="551" spans="1:5" ht="15" customHeight="1" x14ac:dyDescent="0.25">
      <c r="A551">
        <v>486</v>
      </c>
      <c r="B551" t="s">
        <v>127</v>
      </c>
      <c r="C551">
        <v>831</v>
      </c>
      <c r="D551" t="s">
        <v>156</v>
      </c>
      <c r="E551" s="6">
        <v>60.34</v>
      </c>
    </row>
    <row r="552" spans="1:5" ht="15" customHeight="1" x14ac:dyDescent="0.25">
      <c r="A552">
        <v>486</v>
      </c>
      <c r="B552" t="s">
        <v>127</v>
      </c>
      <c r="C552">
        <v>832</v>
      </c>
      <c r="D552" t="s">
        <v>157</v>
      </c>
      <c r="E552" s="6">
        <v>69.040000000000006</v>
      </c>
    </row>
    <row r="553" spans="1:5" ht="15" customHeight="1" x14ac:dyDescent="0.25">
      <c r="A553">
        <v>486</v>
      </c>
      <c r="B553" t="s">
        <v>127</v>
      </c>
      <c r="C553">
        <v>833</v>
      </c>
      <c r="D553" t="s">
        <v>158</v>
      </c>
      <c r="E553" s="6">
        <v>67.040000000000006</v>
      </c>
    </row>
    <row r="554" spans="1:5" ht="15" customHeight="1" x14ac:dyDescent="0.25">
      <c r="A554">
        <v>486</v>
      </c>
      <c r="B554" t="s">
        <v>127</v>
      </c>
      <c r="C554">
        <v>840</v>
      </c>
      <c r="D554" t="s">
        <v>159</v>
      </c>
      <c r="E554" s="6">
        <v>69.94</v>
      </c>
    </row>
    <row r="555" spans="1:5" ht="15" customHeight="1" x14ac:dyDescent="0.25">
      <c r="A555">
        <v>486</v>
      </c>
      <c r="B555" t="s">
        <v>127</v>
      </c>
      <c r="C555">
        <v>841</v>
      </c>
      <c r="D555" t="s">
        <v>160</v>
      </c>
      <c r="E555" s="6">
        <v>68.540000000000006</v>
      </c>
    </row>
    <row r="556" spans="1:5" ht="15" customHeight="1" x14ac:dyDescent="0.25">
      <c r="A556">
        <v>486</v>
      </c>
      <c r="B556" t="s">
        <v>127</v>
      </c>
      <c r="C556">
        <v>842</v>
      </c>
      <c r="D556" t="s">
        <v>161</v>
      </c>
      <c r="E556" s="6">
        <v>63.26</v>
      </c>
    </row>
    <row r="557" spans="1:5" ht="15" customHeight="1" x14ac:dyDescent="0.25">
      <c r="A557">
        <v>486</v>
      </c>
      <c r="B557" t="s">
        <v>127</v>
      </c>
      <c r="C557">
        <v>847</v>
      </c>
      <c r="D557" t="s">
        <v>162</v>
      </c>
      <c r="E557" s="6">
        <v>68.67</v>
      </c>
    </row>
    <row r="558" spans="1:5" ht="15" customHeight="1" x14ac:dyDescent="0.25">
      <c r="A558">
        <v>486</v>
      </c>
      <c r="B558" t="s">
        <v>127</v>
      </c>
      <c r="C558">
        <v>877</v>
      </c>
      <c r="D558" t="s">
        <v>163</v>
      </c>
      <c r="E558" s="6">
        <v>55.1</v>
      </c>
    </row>
    <row r="559" spans="1:5" ht="15" customHeight="1" x14ac:dyDescent="0.25">
      <c r="A559">
        <v>486</v>
      </c>
      <c r="B559" t="s">
        <v>127</v>
      </c>
      <c r="C559">
        <v>898</v>
      </c>
      <c r="D559" t="s">
        <v>164</v>
      </c>
      <c r="E559" s="6">
        <v>63.83</v>
      </c>
    </row>
    <row r="560" spans="1:5" ht="15" customHeight="1" x14ac:dyDescent="0.25">
      <c r="A560">
        <v>486</v>
      </c>
      <c r="B560" t="s">
        <v>127</v>
      </c>
      <c r="C560">
        <v>899</v>
      </c>
      <c r="D560" t="s">
        <v>165</v>
      </c>
      <c r="E560" s="6">
        <v>63.72</v>
      </c>
    </row>
    <row r="561" spans="1:5" ht="15" customHeight="1" x14ac:dyDescent="0.25">
      <c r="A561">
        <v>486</v>
      </c>
      <c r="B561" t="s">
        <v>127</v>
      </c>
      <c r="C561">
        <v>1912</v>
      </c>
      <c r="D561" t="s">
        <v>166</v>
      </c>
      <c r="E561" s="6">
        <v>49.89</v>
      </c>
    </row>
    <row r="562" spans="1:5" ht="15" customHeight="1" x14ac:dyDescent="0.25">
      <c r="A562">
        <v>486</v>
      </c>
      <c r="B562" t="s">
        <v>127</v>
      </c>
      <c r="C562">
        <v>9999</v>
      </c>
      <c r="D562" t="s">
        <v>117</v>
      </c>
      <c r="E562" s="6">
        <v>66.58</v>
      </c>
    </row>
    <row r="563" spans="1:5" ht="15" customHeight="1" x14ac:dyDescent="0.25">
      <c r="A563">
        <v>546</v>
      </c>
      <c r="B563" t="s">
        <v>128</v>
      </c>
      <c r="C563">
        <v>1</v>
      </c>
      <c r="D563" t="s">
        <v>117</v>
      </c>
      <c r="E563" s="6">
        <v>72.47</v>
      </c>
    </row>
    <row r="564" spans="1:5" ht="15" customHeight="1" x14ac:dyDescent="0.25">
      <c r="A564">
        <v>546</v>
      </c>
      <c r="B564" t="s">
        <v>128</v>
      </c>
      <c r="C564">
        <v>3</v>
      </c>
      <c r="D564" t="s">
        <v>118</v>
      </c>
      <c r="E564" s="6">
        <v>20.86</v>
      </c>
    </row>
    <row r="565" spans="1:5" ht="15" customHeight="1" x14ac:dyDescent="0.25">
      <c r="A565">
        <v>546</v>
      </c>
      <c r="B565" t="s">
        <v>128</v>
      </c>
      <c r="C565">
        <v>5</v>
      </c>
      <c r="D565" t="s">
        <v>119</v>
      </c>
      <c r="E565" s="6">
        <v>36.020000000000003</v>
      </c>
    </row>
    <row r="566" spans="1:5" ht="15" customHeight="1" x14ac:dyDescent="0.25">
      <c r="A566">
        <v>546</v>
      </c>
      <c r="B566" t="s">
        <v>128</v>
      </c>
      <c r="C566">
        <v>11</v>
      </c>
      <c r="D566" t="s">
        <v>120</v>
      </c>
      <c r="E566" s="6">
        <v>59.85</v>
      </c>
    </row>
    <row r="567" spans="1:5" ht="15" customHeight="1" x14ac:dyDescent="0.25">
      <c r="A567">
        <v>546</v>
      </c>
      <c r="B567" t="s">
        <v>128</v>
      </c>
      <c r="C567">
        <v>12</v>
      </c>
      <c r="D567" t="s">
        <v>121</v>
      </c>
      <c r="E567" s="6">
        <v>50.65</v>
      </c>
    </row>
    <row r="568" spans="1:5" ht="15" customHeight="1" x14ac:dyDescent="0.25">
      <c r="A568">
        <v>546</v>
      </c>
      <c r="B568" t="s">
        <v>128</v>
      </c>
      <c r="C568">
        <v>29</v>
      </c>
      <c r="D568" t="s">
        <v>122</v>
      </c>
      <c r="E568" s="6">
        <v>187.33</v>
      </c>
    </row>
    <row r="569" spans="1:5" ht="15" customHeight="1" x14ac:dyDescent="0.25">
      <c r="A569">
        <v>546</v>
      </c>
      <c r="B569" t="s">
        <v>128</v>
      </c>
      <c r="C569">
        <v>70</v>
      </c>
      <c r="D569" t="s">
        <v>123</v>
      </c>
      <c r="E569" s="6">
        <v>91.52</v>
      </c>
    </row>
    <row r="570" spans="1:5" ht="15" customHeight="1" x14ac:dyDescent="0.25">
      <c r="A570">
        <v>546</v>
      </c>
      <c r="B570" t="s">
        <v>128</v>
      </c>
      <c r="C570">
        <v>71</v>
      </c>
      <c r="D570" t="s">
        <v>124</v>
      </c>
      <c r="E570" s="6">
        <v>167.7</v>
      </c>
    </row>
    <row r="571" spans="1:5" ht="15" customHeight="1" x14ac:dyDescent="0.25">
      <c r="A571">
        <v>546</v>
      </c>
      <c r="B571" t="s">
        <v>128</v>
      </c>
      <c r="C571">
        <v>384</v>
      </c>
      <c r="D571" t="s">
        <v>125</v>
      </c>
      <c r="E571" s="6">
        <v>73.34</v>
      </c>
    </row>
    <row r="572" spans="1:5" ht="15" customHeight="1" x14ac:dyDescent="0.25">
      <c r="A572">
        <v>546</v>
      </c>
      <c r="B572" t="s">
        <v>128</v>
      </c>
      <c r="C572">
        <v>429</v>
      </c>
      <c r="D572" t="s">
        <v>126</v>
      </c>
      <c r="E572" s="6">
        <v>118.29</v>
      </c>
    </row>
    <row r="573" spans="1:5" ht="15" customHeight="1" x14ac:dyDescent="0.25">
      <c r="A573">
        <v>546</v>
      </c>
      <c r="B573" t="s">
        <v>128</v>
      </c>
      <c r="C573">
        <v>486</v>
      </c>
      <c r="D573" t="s">
        <v>127</v>
      </c>
      <c r="E573" s="6">
        <v>36.950000000000003</v>
      </c>
    </row>
    <row r="574" spans="1:5" ht="15" customHeight="1" x14ac:dyDescent="0.25">
      <c r="A574">
        <v>546</v>
      </c>
      <c r="B574" t="s">
        <v>128</v>
      </c>
      <c r="C574">
        <v>546</v>
      </c>
      <c r="D574" t="s">
        <v>128</v>
      </c>
      <c r="E574" s="6">
        <v>0</v>
      </c>
    </row>
    <row r="575" spans="1:5" ht="15" customHeight="1" x14ac:dyDescent="0.25">
      <c r="A575">
        <v>546</v>
      </c>
      <c r="B575" t="s">
        <v>128</v>
      </c>
      <c r="C575">
        <v>599</v>
      </c>
      <c r="D575" t="s">
        <v>129</v>
      </c>
      <c r="E575" s="6">
        <v>67.34</v>
      </c>
    </row>
    <row r="576" spans="1:5" ht="15" customHeight="1" x14ac:dyDescent="0.25">
      <c r="A576">
        <v>546</v>
      </c>
      <c r="B576" t="s">
        <v>128</v>
      </c>
      <c r="C576">
        <v>620</v>
      </c>
      <c r="D576" t="s">
        <v>130</v>
      </c>
      <c r="E576" s="6">
        <v>112.61</v>
      </c>
    </row>
    <row r="577" spans="1:5" ht="15" customHeight="1" x14ac:dyDescent="0.25">
      <c r="A577">
        <v>546</v>
      </c>
      <c r="B577" t="s">
        <v>128</v>
      </c>
      <c r="C577">
        <v>626</v>
      </c>
      <c r="D577" t="s">
        <v>131</v>
      </c>
      <c r="E577" s="6">
        <v>70.180000000000007</v>
      </c>
    </row>
    <row r="578" spans="1:5" ht="15" customHeight="1" x14ac:dyDescent="0.25">
      <c r="A578">
        <v>546</v>
      </c>
      <c r="B578" t="s">
        <v>128</v>
      </c>
      <c r="C578">
        <v>627</v>
      </c>
      <c r="D578" t="s">
        <v>132</v>
      </c>
      <c r="E578" s="6">
        <v>76.25</v>
      </c>
    </row>
    <row r="579" spans="1:5" ht="15" customHeight="1" x14ac:dyDescent="0.25">
      <c r="A579">
        <v>546</v>
      </c>
      <c r="B579" t="s">
        <v>128</v>
      </c>
      <c r="C579">
        <v>651</v>
      </c>
      <c r="D579" t="s">
        <v>133</v>
      </c>
      <c r="E579" s="6">
        <v>74.959999999999994</v>
      </c>
    </row>
    <row r="580" spans="1:5" ht="15" customHeight="1" x14ac:dyDescent="0.25">
      <c r="A580">
        <v>546</v>
      </c>
      <c r="B580" t="s">
        <v>128</v>
      </c>
      <c r="C580">
        <v>668</v>
      </c>
      <c r="D580" t="s">
        <v>134</v>
      </c>
      <c r="E580" s="6">
        <v>69.239999999999995</v>
      </c>
    </row>
    <row r="581" spans="1:5" ht="15" customHeight="1" x14ac:dyDescent="0.25">
      <c r="A581">
        <v>546</v>
      </c>
      <c r="B581" t="s">
        <v>128</v>
      </c>
      <c r="C581">
        <v>681</v>
      </c>
      <c r="D581" t="s">
        <v>135</v>
      </c>
      <c r="E581" s="6">
        <v>74.760000000000005</v>
      </c>
    </row>
    <row r="582" spans="1:5" ht="15" customHeight="1" x14ac:dyDescent="0.25">
      <c r="A582">
        <v>546</v>
      </c>
      <c r="B582" t="s">
        <v>128</v>
      </c>
      <c r="C582">
        <v>682</v>
      </c>
      <c r="D582" t="s">
        <v>136</v>
      </c>
      <c r="E582" s="6">
        <v>72.37</v>
      </c>
    </row>
    <row r="583" spans="1:5" ht="15" customHeight="1" x14ac:dyDescent="0.25">
      <c r="A583">
        <v>546</v>
      </c>
      <c r="B583" t="s">
        <v>128</v>
      </c>
      <c r="C583">
        <v>683</v>
      </c>
      <c r="D583" t="s">
        <v>137</v>
      </c>
      <c r="E583" s="6">
        <v>72.91</v>
      </c>
    </row>
    <row r="584" spans="1:5" ht="15" customHeight="1" x14ac:dyDescent="0.25">
      <c r="A584">
        <v>546</v>
      </c>
      <c r="B584" t="s">
        <v>128</v>
      </c>
      <c r="C584">
        <v>684</v>
      </c>
      <c r="D584" t="s">
        <v>138</v>
      </c>
      <c r="E584" s="6">
        <v>71.739999999999995</v>
      </c>
    </row>
    <row r="585" spans="1:5" ht="15" customHeight="1" x14ac:dyDescent="0.25">
      <c r="A585">
        <v>546</v>
      </c>
      <c r="B585" t="s">
        <v>128</v>
      </c>
      <c r="C585">
        <v>685</v>
      </c>
      <c r="D585" t="s">
        <v>139</v>
      </c>
      <c r="E585" s="6">
        <v>73.27</v>
      </c>
    </row>
    <row r="586" spans="1:5" ht="15" customHeight="1" x14ac:dyDescent="0.25">
      <c r="A586">
        <v>546</v>
      </c>
      <c r="B586" t="s">
        <v>128</v>
      </c>
      <c r="C586">
        <v>691</v>
      </c>
      <c r="D586" t="s">
        <v>140</v>
      </c>
      <c r="E586" s="6">
        <v>74.349999999999994</v>
      </c>
    </row>
    <row r="587" spans="1:5" ht="15" customHeight="1" x14ac:dyDescent="0.25">
      <c r="A587">
        <v>546</v>
      </c>
      <c r="B587" t="s">
        <v>128</v>
      </c>
      <c r="C587">
        <v>706</v>
      </c>
      <c r="D587" t="s">
        <v>141</v>
      </c>
      <c r="E587" s="6">
        <v>74.5</v>
      </c>
    </row>
    <row r="588" spans="1:5" ht="15" customHeight="1" x14ac:dyDescent="0.25">
      <c r="A588">
        <v>546</v>
      </c>
      <c r="B588" t="s">
        <v>128</v>
      </c>
      <c r="C588">
        <v>713</v>
      </c>
      <c r="D588" t="s">
        <v>142</v>
      </c>
      <c r="E588" s="6">
        <v>70.78</v>
      </c>
    </row>
    <row r="589" spans="1:5" ht="15" customHeight="1" x14ac:dyDescent="0.25">
      <c r="A589">
        <v>546</v>
      </c>
      <c r="B589" t="s">
        <v>128</v>
      </c>
      <c r="C589">
        <v>718</v>
      </c>
      <c r="D589" t="s">
        <v>143</v>
      </c>
      <c r="E589" s="6">
        <v>73.88</v>
      </c>
    </row>
    <row r="590" spans="1:5" ht="15" customHeight="1" x14ac:dyDescent="0.25">
      <c r="A590">
        <v>546</v>
      </c>
      <c r="B590" t="s">
        <v>128</v>
      </c>
      <c r="C590">
        <v>731</v>
      </c>
      <c r="D590" t="s">
        <v>144</v>
      </c>
      <c r="E590" s="6">
        <v>44.13</v>
      </c>
    </row>
    <row r="591" spans="1:5" ht="15" customHeight="1" x14ac:dyDescent="0.25">
      <c r="A591">
        <v>546</v>
      </c>
      <c r="B591" t="s">
        <v>128</v>
      </c>
      <c r="C591">
        <v>743</v>
      </c>
      <c r="D591" t="s">
        <v>145</v>
      </c>
      <c r="E591" s="6">
        <v>73.92</v>
      </c>
    </row>
    <row r="592" spans="1:5" ht="15" customHeight="1" x14ac:dyDescent="0.25">
      <c r="A592">
        <v>546</v>
      </c>
      <c r="B592" t="s">
        <v>128</v>
      </c>
      <c r="C592">
        <v>760</v>
      </c>
      <c r="D592" t="s">
        <v>146</v>
      </c>
      <c r="E592" s="6">
        <v>73.52</v>
      </c>
    </row>
    <row r="593" spans="1:5" ht="15" customHeight="1" x14ac:dyDescent="0.25">
      <c r="A593">
        <v>546</v>
      </c>
      <c r="B593" t="s">
        <v>128</v>
      </c>
      <c r="C593">
        <v>765</v>
      </c>
      <c r="D593" t="s">
        <v>147</v>
      </c>
      <c r="E593" s="6">
        <v>69.3</v>
      </c>
    </row>
    <row r="594" spans="1:5" ht="15" customHeight="1" x14ac:dyDescent="0.25">
      <c r="A594">
        <v>546</v>
      </c>
      <c r="B594" t="s">
        <v>128</v>
      </c>
      <c r="C594">
        <v>766</v>
      </c>
      <c r="D594" t="s">
        <v>148</v>
      </c>
      <c r="E594" s="6">
        <v>73.3</v>
      </c>
    </row>
    <row r="595" spans="1:5" ht="15" customHeight="1" x14ac:dyDescent="0.25">
      <c r="A595">
        <v>546</v>
      </c>
      <c r="B595" t="s">
        <v>128</v>
      </c>
      <c r="C595">
        <v>767</v>
      </c>
      <c r="D595" t="s">
        <v>149</v>
      </c>
      <c r="E595" s="6">
        <v>78.56</v>
      </c>
    </row>
    <row r="596" spans="1:5" ht="15" customHeight="1" x14ac:dyDescent="0.25">
      <c r="A596">
        <v>546</v>
      </c>
      <c r="B596" t="s">
        <v>128</v>
      </c>
      <c r="C596">
        <v>795</v>
      </c>
      <c r="D596" t="s">
        <v>150</v>
      </c>
      <c r="E596" s="6">
        <v>72.77</v>
      </c>
    </row>
    <row r="597" spans="1:5" ht="15" customHeight="1" x14ac:dyDescent="0.25">
      <c r="A597">
        <v>546</v>
      </c>
      <c r="B597" t="s">
        <v>128</v>
      </c>
      <c r="C597">
        <v>798</v>
      </c>
      <c r="D597" t="s">
        <v>151</v>
      </c>
      <c r="E597" s="6">
        <v>74.39</v>
      </c>
    </row>
    <row r="598" spans="1:5" ht="15" customHeight="1" x14ac:dyDescent="0.25">
      <c r="A598">
        <v>546</v>
      </c>
      <c r="B598" t="s">
        <v>128</v>
      </c>
      <c r="C598">
        <v>799</v>
      </c>
      <c r="D598" t="s">
        <v>152</v>
      </c>
      <c r="E598" s="6">
        <v>69.849999999999994</v>
      </c>
    </row>
    <row r="599" spans="1:5" ht="15" customHeight="1" x14ac:dyDescent="0.25">
      <c r="A599">
        <v>546</v>
      </c>
      <c r="B599" t="s">
        <v>128</v>
      </c>
      <c r="C599">
        <v>811</v>
      </c>
      <c r="D599" t="s">
        <v>153</v>
      </c>
      <c r="E599" s="6">
        <v>72.09</v>
      </c>
    </row>
    <row r="600" spans="1:5" ht="15" customHeight="1" x14ac:dyDescent="0.25">
      <c r="A600">
        <v>546</v>
      </c>
      <c r="B600" t="s">
        <v>128</v>
      </c>
      <c r="C600">
        <v>820</v>
      </c>
      <c r="D600" t="s">
        <v>154</v>
      </c>
      <c r="E600" s="6">
        <v>73.58</v>
      </c>
    </row>
    <row r="601" spans="1:5" ht="15" customHeight="1" x14ac:dyDescent="0.25">
      <c r="A601">
        <v>546</v>
      </c>
      <c r="B601" t="s">
        <v>128</v>
      </c>
      <c r="C601">
        <v>830</v>
      </c>
      <c r="D601" t="s">
        <v>155</v>
      </c>
      <c r="E601" s="6">
        <v>74.08</v>
      </c>
    </row>
    <row r="602" spans="1:5" ht="15" customHeight="1" x14ac:dyDescent="0.25">
      <c r="A602">
        <v>546</v>
      </c>
      <c r="B602" t="s">
        <v>128</v>
      </c>
      <c r="C602">
        <v>831</v>
      </c>
      <c r="D602" t="s">
        <v>156</v>
      </c>
      <c r="E602" s="6">
        <v>65.06</v>
      </c>
    </row>
    <row r="603" spans="1:5" ht="15" customHeight="1" x14ac:dyDescent="0.25">
      <c r="A603">
        <v>546</v>
      </c>
      <c r="B603" t="s">
        <v>128</v>
      </c>
      <c r="C603">
        <v>832</v>
      </c>
      <c r="D603" t="s">
        <v>157</v>
      </c>
      <c r="E603" s="6">
        <v>73.319999999999993</v>
      </c>
    </row>
    <row r="604" spans="1:5" ht="15" customHeight="1" x14ac:dyDescent="0.25">
      <c r="A604">
        <v>546</v>
      </c>
      <c r="B604" t="s">
        <v>128</v>
      </c>
      <c r="C604">
        <v>833</v>
      </c>
      <c r="D604" t="s">
        <v>158</v>
      </c>
      <c r="E604" s="6">
        <v>71.89</v>
      </c>
    </row>
    <row r="605" spans="1:5" ht="15" customHeight="1" x14ac:dyDescent="0.25">
      <c r="A605">
        <v>546</v>
      </c>
      <c r="B605" t="s">
        <v>128</v>
      </c>
      <c r="C605">
        <v>840</v>
      </c>
      <c r="D605" t="s">
        <v>159</v>
      </c>
      <c r="E605" s="6">
        <v>73.09</v>
      </c>
    </row>
    <row r="606" spans="1:5" ht="15" customHeight="1" x14ac:dyDescent="0.25">
      <c r="A606">
        <v>546</v>
      </c>
      <c r="B606" t="s">
        <v>128</v>
      </c>
      <c r="C606">
        <v>841</v>
      </c>
      <c r="D606" t="s">
        <v>160</v>
      </c>
      <c r="E606" s="6">
        <v>74.12</v>
      </c>
    </row>
    <row r="607" spans="1:5" ht="15" customHeight="1" x14ac:dyDescent="0.25">
      <c r="A607">
        <v>546</v>
      </c>
      <c r="B607" t="s">
        <v>128</v>
      </c>
      <c r="C607">
        <v>842</v>
      </c>
      <c r="D607" t="s">
        <v>161</v>
      </c>
      <c r="E607" s="6">
        <v>70.09</v>
      </c>
    </row>
    <row r="608" spans="1:5" ht="15" customHeight="1" x14ac:dyDescent="0.25">
      <c r="A608">
        <v>546</v>
      </c>
      <c r="B608" t="s">
        <v>128</v>
      </c>
      <c r="C608">
        <v>847</v>
      </c>
      <c r="D608" t="s">
        <v>162</v>
      </c>
      <c r="E608" s="6">
        <v>74.48</v>
      </c>
    </row>
    <row r="609" spans="1:5" ht="15" customHeight="1" x14ac:dyDescent="0.25">
      <c r="A609">
        <v>546</v>
      </c>
      <c r="B609" t="s">
        <v>128</v>
      </c>
      <c r="C609">
        <v>877</v>
      </c>
      <c r="D609" t="s">
        <v>163</v>
      </c>
      <c r="E609" s="6">
        <v>53.04</v>
      </c>
    </row>
    <row r="610" spans="1:5" ht="15" customHeight="1" x14ac:dyDescent="0.25">
      <c r="A610">
        <v>546</v>
      </c>
      <c r="B610" t="s">
        <v>128</v>
      </c>
      <c r="C610">
        <v>898</v>
      </c>
      <c r="D610" t="s">
        <v>164</v>
      </c>
      <c r="E610" s="6">
        <v>68.540000000000006</v>
      </c>
    </row>
    <row r="611" spans="1:5" ht="15" customHeight="1" x14ac:dyDescent="0.25">
      <c r="A611">
        <v>546</v>
      </c>
      <c r="B611" t="s">
        <v>128</v>
      </c>
      <c r="C611">
        <v>899</v>
      </c>
      <c r="D611" t="s">
        <v>165</v>
      </c>
      <c r="E611" s="6">
        <v>71.59</v>
      </c>
    </row>
    <row r="612" spans="1:5" ht="15" customHeight="1" x14ac:dyDescent="0.25">
      <c r="A612">
        <v>546</v>
      </c>
      <c r="B612" t="s">
        <v>128</v>
      </c>
      <c r="C612">
        <v>1912</v>
      </c>
      <c r="D612" t="s">
        <v>166</v>
      </c>
      <c r="E612" s="6">
        <v>47.21</v>
      </c>
    </row>
    <row r="613" spans="1:5" ht="15" customHeight="1" x14ac:dyDescent="0.25">
      <c r="A613">
        <v>546</v>
      </c>
      <c r="B613" t="s">
        <v>128</v>
      </c>
      <c r="C613">
        <v>9999</v>
      </c>
      <c r="D613" t="s">
        <v>117</v>
      </c>
      <c r="E613" s="6">
        <v>72.47</v>
      </c>
    </row>
    <row r="614" spans="1:5" ht="15" customHeight="1" x14ac:dyDescent="0.25">
      <c r="A614">
        <v>599</v>
      </c>
      <c r="B614" t="s">
        <v>129</v>
      </c>
      <c r="C614">
        <v>1</v>
      </c>
      <c r="D614" t="s">
        <v>117</v>
      </c>
      <c r="E614" s="6">
        <v>5.18</v>
      </c>
    </row>
    <row r="615" spans="1:5" ht="15" customHeight="1" x14ac:dyDescent="0.25">
      <c r="A615">
        <v>599</v>
      </c>
      <c r="B615" t="s">
        <v>129</v>
      </c>
      <c r="C615">
        <v>3</v>
      </c>
      <c r="D615" t="s">
        <v>118</v>
      </c>
      <c r="E615" s="6">
        <v>53.68</v>
      </c>
    </row>
    <row r="616" spans="1:5" ht="15" customHeight="1" x14ac:dyDescent="0.25">
      <c r="A616">
        <v>599</v>
      </c>
      <c r="B616" t="s">
        <v>129</v>
      </c>
      <c r="C616">
        <v>5</v>
      </c>
      <c r="D616" t="s">
        <v>119</v>
      </c>
      <c r="E616" s="6">
        <v>100.9</v>
      </c>
    </row>
    <row r="617" spans="1:5" ht="15" customHeight="1" x14ac:dyDescent="0.25">
      <c r="A617">
        <v>599</v>
      </c>
      <c r="B617" t="s">
        <v>129</v>
      </c>
      <c r="C617">
        <v>11</v>
      </c>
      <c r="D617" t="s">
        <v>120</v>
      </c>
      <c r="E617" s="6">
        <v>82.37</v>
      </c>
    </row>
    <row r="618" spans="1:5" ht="15" customHeight="1" x14ac:dyDescent="0.25">
      <c r="A618">
        <v>599</v>
      </c>
      <c r="B618" t="s">
        <v>129</v>
      </c>
      <c r="C618">
        <v>12</v>
      </c>
      <c r="D618" t="s">
        <v>121</v>
      </c>
      <c r="E618" s="6">
        <v>50.79</v>
      </c>
    </row>
    <row r="619" spans="1:5" ht="15" customHeight="1" x14ac:dyDescent="0.25">
      <c r="A619">
        <v>599</v>
      </c>
      <c r="B619" t="s">
        <v>129</v>
      </c>
      <c r="C619">
        <v>29</v>
      </c>
      <c r="D619" t="s">
        <v>122</v>
      </c>
      <c r="E619" s="6">
        <v>125.68</v>
      </c>
    </row>
    <row r="620" spans="1:5" ht="15" customHeight="1" x14ac:dyDescent="0.25">
      <c r="A620">
        <v>599</v>
      </c>
      <c r="B620" t="s">
        <v>129</v>
      </c>
      <c r="C620">
        <v>70</v>
      </c>
      <c r="D620" t="s">
        <v>123</v>
      </c>
      <c r="E620" s="6">
        <v>79.489999999999995</v>
      </c>
    </row>
    <row r="621" spans="1:5" ht="15" customHeight="1" x14ac:dyDescent="0.25">
      <c r="A621">
        <v>599</v>
      </c>
      <c r="B621" t="s">
        <v>129</v>
      </c>
      <c r="C621">
        <v>71</v>
      </c>
      <c r="D621" t="s">
        <v>124</v>
      </c>
      <c r="E621" s="6">
        <v>127.14</v>
      </c>
    </row>
    <row r="622" spans="1:5" ht="15" customHeight="1" x14ac:dyDescent="0.25">
      <c r="A622">
        <v>599</v>
      </c>
      <c r="B622" t="s">
        <v>129</v>
      </c>
      <c r="C622">
        <v>384</v>
      </c>
      <c r="D622" t="s">
        <v>125</v>
      </c>
      <c r="E622" s="6">
        <v>6.05</v>
      </c>
    </row>
    <row r="623" spans="1:5" ht="15" customHeight="1" x14ac:dyDescent="0.25">
      <c r="A623">
        <v>599</v>
      </c>
      <c r="B623" t="s">
        <v>129</v>
      </c>
      <c r="C623">
        <v>429</v>
      </c>
      <c r="D623" t="s">
        <v>126</v>
      </c>
      <c r="E623" s="6">
        <v>71.12</v>
      </c>
    </row>
    <row r="624" spans="1:5" ht="15" customHeight="1" x14ac:dyDescent="0.25">
      <c r="A624">
        <v>599</v>
      </c>
      <c r="B624" t="s">
        <v>129</v>
      </c>
      <c r="C624">
        <v>486</v>
      </c>
      <c r="D624" t="s">
        <v>127</v>
      </c>
      <c r="E624" s="6">
        <v>61.84</v>
      </c>
    </row>
    <row r="625" spans="1:5" ht="15" customHeight="1" x14ac:dyDescent="0.25">
      <c r="A625">
        <v>599</v>
      </c>
      <c r="B625" t="s">
        <v>129</v>
      </c>
      <c r="C625">
        <v>546</v>
      </c>
      <c r="D625" t="s">
        <v>128</v>
      </c>
      <c r="E625" s="6">
        <v>67.34</v>
      </c>
    </row>
    <row r="626" spans="1:5" ht="15" customHeight="1" x14ac:dyDescent="0.25">
      <c r="A626">
        <v>599</v>
      </c>
      <c r="B626" t="s">
        <v>129</v>
      </c>
      <c r="C626">
        <v>599</v>
      </c>
      <c r="D626" t="s">
        <v>129</v>
      </c>
      <c r="E626" s="6">
        <v>0</v>
      </c>
    </row>
    <row r="627" spans="1:5" ht="15" customHeight="1" x14ac:dyDescent="0.25">
      <c r="A627">
        <v>599</v>
      </c>
      <c r="B627" t="s">
        <v>129</v>
      </c>
      <c r="C627">
        <v>620</v>
      </c>
      <c r="D627" t="s">
        <v>130</v>
      </c>
      <c r="E627" s="6">
        <v>46.19</v>
      </c>
    </row>
    <row r="628" spans="1:5" ht="15" customHeight="1" x14ac:dyDescent="0.25">
      <c r="A628">
        <v>599</v>
      </c>
      <c r="B628" t="s">
        <v>129</v>
      </c>
      <c r="C628">
        <v>626</v>
      </c>
      <c r="D628" t="s">
        <v>131</v>
      </c>
      <c r="E628" s="6">
        <v>4.3</v>
      </c>
    </row>
    <row r="629" spans="1:5" ht="15" customHeight="1" x14ac:dyDescent="0.25">
      <c r="A629">
        <v>599</v>
      </c>
      <c r="B629" t="s">
        <v>129</v>
      </c>
      <c r="C629">
        <v>627</v>
      </c>
      <c r="D629" t="s">
        <v>132</v>
      </c>
      <c r="E629" s="6">
        <v>9.23</v>
      </c>
    </row>
    <row r="630" spans="1:5" ht="15" customHeight="1" x14ac:dyDescent="0.25">
      <c r="A630">
        <v>599</v>
      </c>
      <c r="B630" t="s">
        <v>129</v>
      </c>
      <c r="C630">
        <v>651</v>
      </c>
      <c r="D630" t="s">
        <v>133</v>
      </c>
      <c r="E630" s="6">
        <v>7.64</v>
      </c>
    </row>
    <row r="631" spans="1:5" ht="15" customHeight="1" x14ac:dyDescent="0.25">
      <c r="A631">
        <v>599</v>
      </c>
      <c r="B631" t="s">
        <v>129</v>
      </c>
      <c r="C631">
        <v>668</v>
      </c>
      <c r="D631" t="s">
        <v>134</v>
      </c>
      <c r="E631" s="6">
        <v>2.08</v>
      </c>
    </row>
    <row r="632" spans="1:5" ht="15" customHeight="1" x14ac:dyDescent="0.25">
      <c r="A632">
        <v>599</v>
      </c>
      <c r="B632" t="s">
        <v>129</v>
      </c>
      <c r="C632">
        <v>681</v>
      </c>
      <c r="D632" t="s">
        <v>135</v>
      </c>
      <c r="E632" s="6">
        <v>7.99</v>
      </c>
    </row>
    <row r="633" spans="1:5" ht="15" customHeight="1" x14ac:dyDescent="0.25">
      <c r="A633">
        <v>599</v>
      </c>
      <c r="B633" t="s">
        <v>129</v>
      </c>
      <c r="C633">
        <v>682</v>
      </c>
      <c r="D633" t="s">
        <v>136</v>
      </c>
      <c r="E633" s="6">
        <v>5.03</v>
      </c>
    </row>
    <row r="634" spans="1:5" ht="15" customHeight="1" x14ac:dyDescent="0.25">
      <c r="A634">
        <v>599</v>
      </c>
      <c r="B634" t="s">
        <v>129</v>
      </c>
      <c r="C634">
        <v>683</v>
      </c>
      <c r="D634" t="s">
        <v>137</v>
      </c>
      <c r="E634" s="6">
        <v>5.58</v>
      </c>
    </row>
    <row r="635" spans="1:5" ht="15" customHeight="1" x14ac:dyDescent="0.25">
      <c r="A635">
        <v>599</v>
      </c>
      <c r="B635" t="s">
        <v>129</v>
      </c>
      <c r="C635">
        <v>684</v>
      </c>
      <c r="D635" t="s">
        <v>138</v>
      </c>
      <c r="E635" s="6">
        <v>4.75</v>
      </c>
    </row>
    <row r="636" spans="1:5" ht="15" customHeight="1" x14ac:dyDescent="0.25">
      <c r="A636">
        <v>599</v>
      </c>
      <c r="B636" t="s">
        <v>129</v>
      </c>
      <c r="C636">
        <v>685</v>
      </c>
      <c r="D636" t="s">
        <v>139</v>
      </c>
      <c r="E636" s="6">
        <v>6.36</v>
      </c>
    </row>
    <row r="637" spans="1:5" ht="15" customHeight="1" x14ac:dyDescent="0.25">
      <c r="A637">
        <v>599</v>
      </c>
      <c r="B637" t="s">
        <v>129</v>
      </c>
      <c r="C637">
        <v>691</v>
      </c>
      <c r="D637" t="s">
        <v>140</v>
      </c>
      <c r="E637" s="6">
        <v>7.71</v>
      </c>
    </row>
    <row r="638" spans="1:5" ht="15" customHeight="1" x14ac:dyDescent="0.25">
      <c r="A638">
        <v>599</v>
      </c>
      <c r="B638" t="s">
        <v>129</v>
      </c>
      <c r="C638">
        <v>706</v>
      </c>
      <c r="D638" t="s">
        <v>141</v>
      </c>
      <c r="E638" s="6">
        <v>7.17</v>
      </c>
    </row>
    <row r="639" spans="1:5" ht="15" customHeight="1" x14ac:dyDescent="0.25">
      <c r="A639">
        <v>599</v>
      </c>
      <c r="B639" t="s">
        <v>129</v>
      </c>
      <c r="C639">
        <v>713</v>
      </c>
      <c r="D639" t="s">
        <v>142</v>
      </c>
      <c r="E639" s="6">
        <v>3.46</v>
      </c>
    </row>
    <row r="640" spans="1:5" ht="15" customHeight="1" x14ac:dyDescent="0.25">
      <c r="A640">
        <v>599</v>
      </c>
      <c r="B640" t="s">
        <v>129</v>
      </c>
      <c r="C640">
        <v>718</v>
      </c>
      <c r="D640" t="s">
        <v>143</v>
      </c>
      <c r="E640" s="6">
        <v>6.8</v>
      </c>
    </row>
    <row r="641" spans="1:5" ht="15" customHeight="1" x14ac:dyDescent="0.25">
      <c r="A641">
        <v>599</v>
      </c>
      <c r="B641" t="s">
        <v>129</v>
      </c>
      <c r="C641">
        <v>731</v>
      </c>
      <c r="D641" t="s">
        <v>144</v>
      </c>
      <c r="E641" s="6">
        <v>25.72</v>
      </c>
    </row>
    <row r="642" spans="1:5" ht="15" customHeight="1" x14ac:dyDescent="0.25">
      <c r="A642">
        <v>599</v>
      </c>
      <c r="B642" t="s">
        <v>129</v>
      </c>
      <c r="C642">
        <v>743</v>
      </c>
      <c r="D642" t="s">
        <v>145</v>
      </c>
      <c r="E642" s="6">
        <v>16.28</v>
      </c>
    </row>
    <row r="643" spans="1:5" ht="15" customHeight="1" x14ac:dyDescent="0.25">
      <c r="A643">
        <v>599</v>
      </c>
      <c r="B643" t="s">
        <v>129</v>
      </c>
      <c r="C643">
        <v>760</v>
      </c>
      <c r="D643" t="s">
        <v>146</v>
      </c>
      <c r="E643" s="6">
        <v>6.81</v>
      </c>
    </row>
    <row r="644" spans="1:5" ht="15" customHeight="1" x14ac:dyDescent="0.25">
      <c r="A644">
        <v>599</v>
      </c>
      <c r="B644" t="s">
        <v>129</v>
      </c>
      <c r="C644">
        <v>765</v>
      </c>
      <c r="D644" t="s">
        <v>147</v>
      </c>
      <c r="E644" s="6">
        <v>4.1100000000000003</v>
      </c>
    </row>
    <row r="645" spans="1:5" ht="15" customHeight="1" x14ac:dyDescent="0.25">
      <c r="A645">
        <v>599</v>
      </c>
      <c r="B645" t="s">
        <v>129</v>
      </c>
      <c r="C645">
        <v>766</v>
      </c>
      <c r="D645" t="s">
        <v>148</v>
      </c>
      <c r="E645" s="6">
        <v>6.01</v>
      </c>
    </row>
    <row r="646" spans="1:5" ht="15" customHeight="1" x14ac:dyDescent="0.25">
      <c r="A646">
        <v>599</v>
      </c>
      <c r="B646" t="s">
        <v>129</v>
      </c>
      <c r="C646">
        <v>767</v>
      </c>
      <c r="D646" t="s">
        <v>149</v>
      </c>
      <c r="E646" s="6">
        <v>11.25</v>
      </c>
    </row>
    <row r="647" spans="1:5" ht="15" customHeight="1" x14ac:dyDescent="0.25">
      <c r="A647">
        <v>599</v>
      </c>
      <c r="B647" t="s">
        <v>129</v>
      </c>
      <c r="C647">
        <v>795</v>
      </c>
      <c r="D647" t="s">
        <v>150</v>
      </c>
      <c r="E647" s="6">
        <v>5.78</v>
      </c>
    </row>
    <row r="648" spans="1:5" ht="15" customHeight="1" x14ac:dyDescent="0.25">
      <c r="A648">
        <v>599</v>
      </c>
      <c r="B648" t="s">
        <v>129</v>
      </c>
      <c r="C648">
        <v>798</v>
      </c>
      <c r="D648" t="s">
        <v>151</v>
      </c>
      <c r="E648" s="6">
        <v>8.4600000000000009</v>
      </c>
    </row>
    <row r="649" spans="1:5" ht="15" customHeight="1" x14ac:dyDescent="0.25">
      <c r="A649">
        <v>599</v>
      </c>
      <c r="B649" t="s">
        <v>129</v>
      </c>
      <c r="C649">
        <v>799</v>
      </c>
      <c r="D649" t="s">
        <v>152</v>
      </c>
      <c r="E649" s="6">
        <v>3.48</v>
      </c>
    </row>
    <row r="650" spans="1:5" ht="15" customHeight="1" x14ac:dyDescent="0.25">
      <c r="A650">
        <v>599</v>
      </c>
      <c r="B650" t="s">
        <v>129</v>
      </c>
      <c r="C650">
        <v>811</v>
      </c>
      <c r="D650" t="s">
        <v>153</v>
      </c>
      <c r="E650" s="6">
        <v>6.77</v>
      </c>
    </row>
    <row r="651" spans="1:5" ht="15" customHeight="1" x14ac:dyDescent="0.25">
      <c r="A651">
        <v>599</v>
      </c>
      <c r="B651" t="s">
        <v>129</v>
      </c>
      <c r="C651">
        <v>820</v>
      </c>
      <c r="D651" t="s">
        <v>154</v>
      </c>
      <c r="E651" s="6">
        <v>7.28</v>
      </c>
    </row>
    <row r="652" spans="1:5" ht="15" customHeight="1" x14ac:dyDescent="0.25">
      <c r="A652">
        <v>599</v>
      </c>
      <c r="B652" t="s">
        <v>129</v>
      </c>
      <c r="C652">
        <v>830</v>
      </c>
      <c r="D652" t="s">
        <v>155</v>
      </c>
      <c r="E652" s="6">
        <v>7.78</v>
      </c>
    </row>
    <row r="653" spans="1:5" ht="15" customHeight="1" x14ac:dyDescent="0.25">
      <c r="A653">
        <v>599</v>
      </c>
      <c r="B653" t="s">
        <v>129</v>
      </c>
      <c r="C653">
        <v>831</v>
      </c>
      <c r="D653" t="s">
        <v>156</v>
      </c>
      <c r="E653" s="6">
        <v>2.39</v>
      </c>
    </row>
    <row r="654" spans="1:5" ht="15" customHeight="1" x14ac:dyDescent="0.25">
      <c r="A654">
        <v>599</v>
      </c>
      <c r="B654" t="s">
        <v>129</v>
      </c>
      <c r="C654">
        <v>832</v>
      </c>
      <c r="D654" t="s">
        <v>157</v>
      </c>
      <c r="E654" s="6">
        <v>7.21</v>
      </c>
    </row>
    <row r="655" spans="1:5" ht="15" customHeight="1" x14ac:dyDescent="0.25">
      <c r="A655">
        <v>599</v>
      </c>
      <c r="B655" t="s">
        <v>129</v>
      </c>
      <c r="C655">
        <v>833</v>
      </c>
      <c r="D655" t="s">
        <v>158</v>
      </c>
      <c r="E655" s="6">
        <v>5.21</v>
      </c>
    </row>
    <row r="656" spans="1:5" ht="15" customHeight="1" x14ac:dyDescent="0.25">
      <c r="A656">
        <v>599</v>
      </c>
      <c r="B656" t="s">
        <v>129</v>
      </c>
      <c r="C656">
        <v>840</v>
      </c>
      <c r="D656" t="s">
        <v>159</v>
      </c>
      <c r="E656" s="6">
        <v>8.41</v>
      </c>
    </row>
    <row r="657" spans="1:5" ht="15" customHeight="1" x14ac:dyDescent="0.25">
      <c r="A657">
        <v>599</v>
      </c>
      <c r="B657" t="s">
        <v>129</v>
      </c>
      <c r="C657">
        <v>841</v>
      </c>
      <c r="D657" t="s">
        <v>160</v>
      </c>
      <c r="E657" s="6">
        <v>7</v>
      </c>
    </row>
    <row r="658" spans="1:5" ht="15" customHeight="1" x14ac:dyDescent="0.25">
      <c r="A658">
        <v>599</v>
      </c>
      <c r="B658" t="s">
        <v>129</v>
      </c>
      <c r="C658">
        <v>842</v>
      </c>
      <c r="D658" t="s">
        <v>161</v>
      </c>
      <c r="E658" s="6">
        <v>3.22</v>
      </c>
    </row>
    <row r="659" spans="1:5" ht="15" customHeight="1" x14ac:dyDescent="0.25">
      <c r="A659">
        <v>599</v>
      </c>
      <c r="B659" t="s">
        <v>129</v>
      </c>
      <c r="C659">
        <v>847</v>
      </c>
      <c r="D659" t="s">
        <v>162</v>
      </c>
      <c r="E659" s="6">
        <v>7.27</v>
      </c>
    </row>
    <row r="660" spans="1:5" ht="15" customHeight="1" x14ac:dyDescent="0.25">
      <c r="A660">
        <v>599</v>
      </c>
      <c r="B660" t="s">
        <v>129</v>
      </c>
      <c r="C660">
        <v>877</v>
      </c>
      <c r="D660" t="s">
        <v>163</v>
      </c>
      <c r="E660" s="6">
        <v>16.41</v>
      </c>
    </row>
    <row r="661" spans="1:5" ht="15" customHeight="1" x14ac:dyDescent="0.25">
      <c r="A661">
        <v>599</v>
      </c>
      <c r="B661" t="s">
        <v>129</v>
      </c>
      <c r="C661">
        <v>898</v>
      </c>
      <c r="D661" t="s">
        <v>164</v>
      </c>
      <c r="E661" s="6">
        <v>2.17</v>
      </c>
    </row>
    <row r="662" spans="1:5" ht="15" customHeight="1" x14ac:dyDescent="0.25">
      <c r="A662">
        <v>599</v>
      </c>
      <c r="B662" t="s">
        <v>129</v>
      </c>
      <c r="C662">
        <v>899</v>
      </c>
      <c r="D662" t="s">
        <v>165</v>
      </c>
      <c r="E662" s="6">
        <v>5.36</v>
      </c>
    </row>
    <row r="663" spans="1:5" ht="15" customHeight="1" x14ac:dyDescent="0.25">
      <c r="A663">
        <v>599</v>
      </c>
      <c r="B663" t="s">
        <v>129</v>
      </c>
      <c r="C663">
        <v>1912</v>
      </c>
      <c r="D663" t="s">
        <v>166</v>
      </c>
      <c r="E663" s="6">
        <v>21.03</v>
      </c>
    </row>
    <row r="664" spans="1:5" ht="15" customHeight="1" x14ac:dyDescent="0.25">
      <c r="A664">
        <v>599</v>
      </c>
      <c r="B664" t="s">
        <v>129</v>
      </c>
      <c r="C664">
        <v>9999</v>
      </c>
      <c r="D664" t="s">
        <v>117</v>
      </c>
      <c r="E664" s="6">
        <v>5.18</v>
      </c>
    </row>
    <row r="665" spans="1:5" ht="15" customHeight="1" x14ac:dyDescent="0.25">
      <c r="A665">
        <v>620</v>
      </c>
      <c r="B665" t="s">
        <v>130</v>
      </c>
      <c r="C665">
        <v>1</v>
      </c>
      <c r="D665" t="s">
        <v>117</v>
      </c>
      <c r="E665" s="6">
        <v>41.48</v>
      </c>
    </row>
    <row r="666" spans="1:5" ht="15" customHeight="1" x14ac:dyDescent="0.25">
      <c r="A666">
        <v>620</v>
      </c>
      <c r="B666" t="s">
        <v>130</v>
      </c>
      <c r="C666">
        <v>3</v>
      </c>
      <c r="D666" t="s">
        <v>118</v>
      </c>
      <c r="E666" s="6">
        <v>99.88</v>
      </c>
    </row>
    <row r="667" spans="1:5" ht="15" customHeight="1" x14ac:dyDescent="0.25">
      <c r="A667">
        <v>620</v>
      </c>
      <c r="B667" t="s">
        <v>130</v>
      </c>
      <c r="C667">
        <v>5</v>
      </c>
      <c r="D667" t="s">
        <v>119</v>
      </c>
      <c r="E667" s="6">
        <v>146.94</v>
      </c>
    </row>
    <row r="668" spans="1:5" ht="15" customHeight="1" x14ac:dyDescent="0.25">
      <c r="A668">
        <v>620</v>
      </c>
      <c r="B668" t="s">
        <v>130</v>
      </c>
      <c r="C668">
        <v>11</v>
      </c>
      <c r="D668" t="s">
        <v>120</v>
      </c>
      <c r="E668" s="6">
        <v>124.3</v>
      </c>
    </row>
    <row r="669" spans="1:5" ht="15" customHeight="1" x14ac:dyDescent="0.25">
      <c r="A669">
        <v>620</v>
      </c>
      <c r="B669" t="s">
        <v>130</v>
      </c>
      <c r="C669">
        <v>12</v>
      </c>
      <c r="D669" t="s">
        <v>121</v>
      </c>
      <c r="E669" s="6">
        <v>82.63</v>
      </c>
    </row>
    <row r="670" spans="1:5" ht="15" customHeight="1" x14ac:dyDescent="0.25">
      <c r="A670">
        <v>620</v>
      </c>
      <c r="B670" t="s">
        <v>130</v>
      </c>
      <c r="C670">
        <v>29</v>
      </c>
      <c r="D670" t="s">
        <v>122</v>
      </c>
      <c r="E670" s="6">
        <v>98.04</v>
      </c>
    </row>
    <row r="671" spans="1:5" ht="15" customHeight="1" x14ac:dyDescent="0.25">
      <c r="A671">
        <v>620</v>
      </c>
      <c r="B671" t="s">
        <v>130</v>
      </c>
      <c r="C671">
        <v>70</v>
      </c>
      <c r="D671" t="s">
        <v>123</v>
      </c>
      <c r="E671" s="6">
        <v>90.87</v>
      </c>
    </row>
    <row r="672" spans="1:5" ht="15" customHeight="1" x14ac:dyDescent="0.25">
      <c r="A672">
        <v>620</v>
      </c>
      <c r="B672" t="s">
        <v>130</v>
      </c>
      <c r="C672">
        <v>71</v>
      </c>
      <c r="D672" t="s">
        <v>124</v>
      </c>
      <c r="E672" s="6">
        <v>103.22</v>
      </c>
    </row>
    <row r="673" spans="1:5" ht="15" customHeight="1" x14ac:dyDescent="0.25">
      <c r="A673">
        <v>620</v>
      </c>
      <c r="B673" t="s">
        <v>130</v>
      </c>
      <c r="C673">
        <v>384</v>
      </c>
      <c r="D673" t="s">
        <v>125</v>
      </c>
      <c r="E673" s="6">
        <v>40.659999999999997</v>
      </c>
    </row>
    <row r="674" spans="1:5" ht="15" customHeight="1" x14ac:dyDescent="0.25">
      <c r="A674">
        <v>620</v>
      </c>
      <c r="B674" t="s">
        <v>130</v>
      </c>
      <c r="C674">
        <v>429</v>
      </c>
      <c r="D674" t="s">
        <v>126</v>
      </c>
      <c r="E674" s="6">
        <v>52.67</v>
      </c>
    </row>
    <row r="675" spans="1:5" ht="15" customHeight="1" x14ac:dyDescent="0.25">
      <c r="A675">
        <v>620</v>
      </c>
      <c r="B675" t="s">
        <v>130</v>
      </c>
      <c r="C675">
        <v>486</v>
      </c>
      <c r="D675" t="s">
        <v>127</v>
      </c>
      <c r="E675" s="6">
        <v>98.98</v>
      </c>
    </row>
    <row r="676" spans="1:5" ht="15" customHeight="1" x14ac:dyDescent="0.25">
      <c r="A676">
        <v>620</v>
      </c>
      <c r="B676" t="s">
        <v>130</v>
      </c>
      <c r="C676">
        <v>546</v>
      </c>
      <c r="D676" t="s">
        <v>128</v>
      </c>
      <c r="E676" s="6">
        <v>112.61</v>
      </c>
    </row>
    <row r="677" spans="1:5" ht="15" customHeight="1" x14ac:dyDescent="0.25">
      <c r="A677">
        <v>620</v>
      </c>
      <c r="B677" t="s">
        <v>130</v>
      </c>
      <c r="C677">
        <v>599</v>
      </c>
      <c r="D677" t="s">
        <v>129</v>
      </c>
      <c r="E677" s="6">
        <v>46.19</v>
      </c>
    </row>
    <row r="678" spans="1:5" ht="15" customHeight="1" x14ac:dyDescent="0.25">
      <c r="A678">
        <v>620</v>
      </c>
      <c r="B678" t="s">
        <v>130</v>
      </c>
      <c r="C678">
        <v>620</v>
      </c>
      <c r="D678" t="s">
        <v>130</v>
      </c>
      <c r="E678" s="6">
        <v>0</v>
      </c>
    </row>
    <row r="679" spans="1:5" ht="15" customHeight="1" x14ac:dyDescent="0.25">
      <c r="A679">
        <v>620</v>
      </c>
      <c r="B679" t="s">
        <v>130</v>
      </c>
      <c r="C679">
        <v>626</v>
      </c>
      <c r="D679" t="s">
        <v>131</v>
      </c>
      <c r="E679" s="6">
        <v>44.54</v>
      </c>
    </row>
    <row r="680" spans="1:5" ht="15" customHeight="1" x14ac:dyDescent="0.25">
      <c r="A680">
        <v>620</v>
      </c>
      <c r="B680" t="s">
        <v>130</v>
      </c>
      <c r="C680">
        <v>627</v>
      </c>
      <c r="D680" t="s">
        <v>132</v>
      </c>
      <c r="E680" s="6">
        <v>36.97</v>
      </c>
    </row>
    <row r="681" spans="1:5" ht="15" customHeight="1" x14ac:dyDescent="0.25">
      <c r="A681">
        <v>620</v>
      </c>
      <c r="B681" t="s">
        <v>130</v>
      </c>
      <c r="C681">
        <v>651</v>
      </c>
      <c r="D681" t="s">
        <v>133</v>
      </c>
      <c r="E681" s="6">
        <v>39.090000000000003</v>
      </c>
    </row>
    <row r="682" spans="1:5" ht="15" customHeight="1" x14ac:dyDescent="0.25">
      <c r="A682">
        <v>620</v>
      </c>
      <c r="B682" t="s">
        <v>130</v>
      </c>
      <c r="C682">
        <v>668</v>
      </c>
      <c r="D682" t="s">
        <v>134</v>
      </c>
      <c r="E682" s="6">
        <v>44.61</v>
      </c>
    </row>
    <row r="683" spans="1:5" ht="15" customHeight="1" x14ac:dyDescent="0.25">
      <c r="A683">
        <v>620</v>
      </c>
      <c r="B683" t="s">
        <v>130</v>
      </c>
      <c r="C683">
        <v>681</v>
      </c>
      <c r="D683" t="s">
        <v>135</v>
      </c>
      <c r="E683" s="6">
        <v>40.19</v>
      </c>
    </row>
    <row r="684" spans="1:5" ht="15" customHeight="1" x14ac:dyDescent="0.25">
      <c r="A684">
        <v>620</v>
      </c>
      <c r="B684" t="s">
        <v>130</v>
      </c>
      <c r="C684">
        <v>682</v>
      </c>
      <c r="D684" t="s">
        <v>136</v>
      </c>
      <c r="E684" s="6">
        <v>41.37</v>
      </c>
    </row>
    <row r="685" spans="1:5" ht="15" customHeight="1" x14ac:dyDescent="0.25">
      <c r="A685">
        <v>620</v>
      </c>
      <c r="B685" t="s">
        <v>130</v>
      </c>
      <c r="C685">
        <v>683</v>
      </c>
      <c r="D685" t="s">
        <v>137</v>
      </c>
      <c r="E685" s="6">
        <v>40.97</v>
      </c>
    </row>
    <row r="686" spans="1:5" ht="15" customHeight="1" x14ac:dyDescent="0.25">
      <c r="A686">
        <v>620</v>
      </c>
      <c r="B686" t="s">
        <v>130</v>
      </c>
      <c r="C686">
        <v>684</v>
      </c>
      <c r="D686" t="s">
        <v>138</v>
      </c>
      <c r="E686" s="6">
        <v>42.54</v>
      </c>
    </row>
    <row r="687" spans="1:5" ht="15" customHeight="1" x14ac:dyDescent="0.25">
      <c r="A687">
        <v>620</v>
      </c>
      <c r="B687" t="s">
        <v>130</v>
      </c>
      <c r="C687">
        <v>685</v>
      </c>
      <c r="D687" t="s">
        <v>139</v>
      </c>
      <c r="E687" s="6">
        <v>41.3</v>
      </c>
    </row>
    <row r="688" spans="1:5" ht="15" customHeight="1" x14ac:dyDescent="0.25">
      <c r="A688">
        <v>620</v>
      </c>
      <c r="B688" t="s">
        <v>130</v>
      </c>
      <c r="C688">
        <v>691</v>
      </c>
      <c r="D688" t="s">
        <v>140</v>
      </c>
      <c r="E688" s="6">
        <v>40.68</v>
      </c>
    </row>
    <row r="689" spans="1:5" ht="15" customHeight="1" x14ac:dyDescent="0.25">
      <c r="A689">
        <v>620</v>
      </c>
      <c r="B689" t="s">
        <v>130</v>
      </c>
      <c r="C689">
        <v>706</v>
      </c>
      <c r="D689" t="s">
        <v>141</v>
      </c>
      <c r="E689" s="6">
        <v>39.49</v>
      </c>
    </row>
    <row r="690" spans="1:5" ht="15" customHeight="1" x14ac:dyDescent="0.25">
      <c r="A690">
        <v>620</v>
      </c>
      <c r="B690" t="s">
        <v>130</v>
      </c>
      <c r="C690">
        <v>713</v>
      </c>
      <c r="D690" t="s">
        <v>142</v>
      </c>
      <c r="E690" s="6">
        <v>42.99</v>
      </c>
    </row>
    <row r="691" spans="1:5" ht="15" customHeight="1" x14ac:dyDescent="0.25">
      <c r="A691">
        <v>620</v>
      </c>
      <c r="B691" t="s">
        <v>130</v>
      </c>
      <c r="C691">
        <v>718</v>
      </c>
      <c r="D691" t="s">
        <v>143</v>
      </c>
      <c r="E691" s="6">
        <v>39.39</v>
      </c>
    </row>
    <row r="692" spans="1:5" ht="15" customHeight="1" x14ac:dyDescent="0.25">
      <c r="A692">
        <v>620</v>
      </c>
      <c r="B692" t="s">
        <v>130</v>
      </c>
      <c r="C692">
        <v>731</v>
      </c>
      <c r="D692" t="s">
        <v>144</v>
      </c>
      <c r="E692" s="6">
        <v>71.84</v>
      </c>
    </row>
    <row r="693" spans="1:5" ht="15" customHeight="1" x14ac:dyDescent="0.25">
      <c r="A693">
        <v>620</v>
      </c>
      <c r="B693" t="s">
        <v>130</v>
      </c>
      <c r="C693">
        <v>743</v>
      </c>
      <c r="D693" t="s">
        <v>145</v>
      </c>
      <c r="E693" s="6">
        <v>48.24</v>
      </c>
    </row>
    <row r="694" spans="1:5" ht="15" customHeight="1" x14ac:dyDescent="0.25">
      <c r="A694">
        <v>620</v>
      </c>
      <c r="B694" t="s">
        <v>130</v>
      </c>
      <c r="C694">
        <v>760</v>
      </c>
      <c r="D694" t="s">
        <v>146</v>
      </c>
      <c r="E694" s="6">
        <v>41.29</v>
      </c>
    </row>
    <row r="695" spans="1:5" ht="15" customHeight="1" x14ac:dyDescent="0.25">
      <c r="A695">
        <v>620</v>
      </c>
      <c r="B695" t="s">
        <v>130</v>
      </c>
      <c r="C695">
        <v>765</v>
      </c>
      <c r="D695" t="s">
        <v>147</v>
      </c>
      <c r="E695" s="6">
        <v>45.52</v>
      </c>
    </row>
    <row r="696" spans="1:5" ht="15" customHeight="1" x14ac:dyDescent="0.25">
      <c r="A696">
        <v>620</v>
      </c>
      <c r="B696" t="s">
        <v>130</v>
      </c>
      <c r="C696">
        <v>766</v>
      </c>
      <c r="D696" t="s">
        <v>148</v>
      </c>
      <c r="E696" s="6">
        <v>40.229999999999997</v>
      </c>
    </row>
    <row r="697" spans="1:5" ht="15" customHeight="1" x14ac:dyDescent="0.25">
      <c r="A697">
        <v>620</v>
      </c>
      <c r="B697" t="s">
        <v>130</v>
      </c>
      <c r="C697">
        <v>767</v>
      </c>
      <c r="D697" t="s">
        <v>149</v>
      </c>
      <c r="E697" s="6">
        <v>35.200000000000003</v>
      </c>
    </row>
    <row r="698" spans="1:5" ht="15" customHeight="1" x14ac:dyDescent="0.25">
      <c r="A698">
        <v>620</v>
      </c>
      <c r="B698" t="s">
        <v>130</v>
      </c>
      <c r="C698">
        <v>795</v>
      </c>
      <c r="D698" t="s">
        <v>150</v>
      </c>
      <c r="E698" s="6">
        <v>41.65</v>
      </c>
    </row>
    <row r="699" spans="1:5" ht="15" customHeight="1" x14ac:dyDescent="0.25">
      <c r="A699">
        <v>620</v>
      </c>
      <c r="B699" t="s">
        <v>130</v>
      </c>
      <c r="C699">
        <v>798</v>
      </c>
      <c r="D699" t="s">
        <v>151</v>
      </c>
      <c r="E699" s="6">
        <v>41.33</v>
      </c>
    </row>
    <row r="700" spans="1:5" ht="15" customHeight="1" x14ac:dyDescent="0.25">
      <c r="A700">
        <v>620</v>
      </c>
      <c r="B700" t="s">
        <v>130</v>
      </c>
      <c r="C700">
        <v>799</v>
      </c>
      <c r="D700" t="s">
        <v>152</v>
      </c>
      <c r="E700" s="6">
        <v>44.55</v>
      </c>
    </row>
    <row r="701" spans="1:5" ht="15" customHeight="1" x14ac:dyDescent="0.25">
      <c r="A701">
        <v>620</v>
      </c>
      <c r="B701" t="s">
        <v>130</v>
      </c>
      <c r="C701">
        <v>811</v>
      </c>
      <c r="D701" t="s">
        <v>153</v>
      </c>
      <c r="E701" s="6">
        <v>40.65</v>
      </c>
    </row>
    <row r="702" spans="1:5" ht="15" customHeight="1" x14ac:dyDescent="0.25">
      <c r="A702">
        <v>620</v>
      </c>
      <c r="B702" t="s">
        <v>130</v>
      </c>
      <c r="C702">
        <v>820</v>
      </c>
      <c r="D702" t="s">
        <v>154</v>
      </c>
      <c r="E702" s="6">
        <v>41.63</v>
      </c>
    </row>
    <row r="703" spans="1:5" ht="15" customHeight="1" x14ac:dyDescent="0.25">
      <c r="A703">
        <v>620</v>
      </c>
      <c r="B703" t="s">
        <v>130</v>
      </c>
      <c r="C703">
        <v>830</v>
      </c>
      <c r="D703" t="s">
        <v>155</v>
      </c>
      <c r="E703" s="6">
        <v>41.23</v>
      </c>
    </row>
    <row r="704" spans="1:5" ht="15" customHeight="1" x14ac:dyDescent="0.25">
      <c r="A704">
        <v>620</v>
      </c>
      <c r="B704" t="s">
        <v>130</v>
      </c>
      <c r="C704">
        <v>831</v>
      </c>
      <c r="D704" t="s">
        <v>156</v>
      </c>
      <c r="E704" s="6">
        <v>48.58</v>
      </c>
    </row>
    <row r="705" spans="1:5" ht="15" customHeight="1" x14ac:dyDescent="0.25">
      <c r="A705">
        <v>620</v>
      </c>
      <c r="B705" t="s">
        <v>130</v>
      </c>
      <c r="C705">
        <v>832</v>
      </c>
      <c r="D705" t="s">
        <v>157</v>
      </c>
      <c r="E705" s="6">
        <v>41.99</v>
      </c>
    </row>
    <row r="706" spans="1:5" ht="15" customHeight="1" x14ac:dyDescent="0.25">
      <c r="A706">
        <v>620</v>
      </c>
      <c r="B706" t="s">
        <v>130</v>
      </c>
      <c r="C706">
        <v>833</v>
      </c>
      <c r="D706" t="s">
        <v>158</v>
      </c>
      <c r="E706" s="6">
        <v>42.69</v>
      </c>
    </row>
    <row r="707" spans="1:5" ht="15" customHeight="1" x14ac:dyDescent="0.25">
      <c r="A707">
        <v>620</v>
      </c>
      <c r="B707" t="s">
        <v>130</v>
      </c>
      <c r="C707">
        <v>840</v>
      </c>
      <c r="D707" t="s">
        <v>159</v>
      </c>
      <c r="E707" s="6">
        <v>43.23</v>
      </c>
    </row>
    <row r="708" spans="1:5" ht="15" customHeight="1" x14ac:dyDescent="0.25">
      <c r="A708">
        <v>620</v>
      </c>
      <c r="B708" t="s">
        <v>130</v>
      </c>
      <c r="C708">
        <v>841</v>
      </c>
      <c r="D708" t="s">
        <v>160</v>
      </c>
      <c r="E708" s="6">
        <v>40.299999999999997</v>
      </c>
    </row>
    <row r="709" spans="1:5" ht="15" customHeight="1" x14ac:dyDescent="0.25">
      <c r="A709">
        <v>620</v>
      </c>
      <c r="B709" t="s">
        <v>130</v>
      </c>
      <c r="C709">
        <v>842</v>
      </c>
      <c r="D709" t="s">
        <v>161</v>
      </c>
      <c r="E709" s="6">
        <v>43.13</v>
      </c>
    </row>
    <row r="710" spans="1:5" ht="15" customHeight="1" x14ac:dyDescent="0.25">
      <c r="A710">
        <v>620</v>
      </c>
      <c r="B710" t="s">
        <v>130</v>
      </c>
      <c r="C710">
        <v>847</v>
      </c>
      <c r="D710" t="s">
        <v>162</v>
      </c>
      <c r="E710" s="6">
        <v>39.83</v>
      </c>
    </row>
    <row r="711" spans="1:5" ht="15" customHeight="1" x14ac:dyDescent="0.25">
      <c r="A711">
        <v>620</v>
      </c>
      <c r="B711" t="s">
        <v>130</v>
      </c>
      <c r="C711">
        <v>877</v>
      </c>
      <c r="D711" t="s">
        <v>163</v>
      </c>
      <c r="E711" s="6">
        <v>62.38</v>
      </c>
    </row>
    <row r="712" spans="1:5" ht="15" customHeight="1" x14ac:dyDescent="0.25">
      <c r="A712">
        <v>620</v>
      </c>
      <c r="B712" t="s">
        <v>130</v>
      </c>
      <c r="C712">
        <v>898</v>
      </c>
      <c r="D712" t="s">
        <v>164</v>
      </c>
      <c r="E712" s="6">
        <v>45.58</v>
      </c>
    </row>
    <row r="713" spans="1:5" ht="15" customHeight="1" x14ac:dyDescent="0.25">
      <c r="A713">
        <v>620</v>
      </c>
      <c r="B713" t="s">
        <v>130</v>
      </c>
      <c r="C713">
        <v>899</v>
      </c>
      <c r="D713" t="s">
        <v>165</v>
      </c>
      <c r="E713" s="6">
        <v>41.35</v>
      </c>
    </row>
    <row r="714" spans="1:5" ht="15" customHeight="1" x14ac:dyDescent="0.25">
      <c r="A714">
        <v>620</v>
      </c>
      <c r="B714" t="s">
        <v>130</v>
      </c>
      <c r="C714">
        <v>1912</v>
      </c>
      <c r="D714" t="s">
        <v>166</v>
      </c>
      <c r="E714" s="6">
        <v>67.22</v>
      </c>
    </row>
    <row r="715" spans="1:5" ht="15" customHeight="1" x14ac:dyDescent="0.25">
      <c r="A715">
        <v>620</v>
      </c>
      <c r="B715" t="s">
        <v>130</v>
      </c>
      <c r="C715">
        <v>9999</v>
      </c>
      <c r="D715" t="s">
        <v>117</v>
      </c>
      <c r="E715" s="6">
        <v>41.48</v>
      </c>
    </row>
    <row r="716" spans="1:5" ht="15" customHeight="1" x14ac:dyDescent="0.25">
      <c r="A716">
        <v>626</v>
      </c>
      <c r="B716" t="s">
        <v>131</v>
      </c>
      <c r="C716">
        <v>1</v>
      </c>
      <c r="D716" t="s">
        <v>117</v>
      </c>
      <c r="E716" s="6">
        <v>3.49</v>
      </c>
    </row>
    <row r="717" spans="1:5" ht="15" customHeight="1" x14ac:dyDescent="0.25">
      <c r="A717">
        <v>626</v>
      </c>
      <c r="B717" t="s">
        <v>131</v>
      </c>
      <c r="C717">
        <v>3</v>
      </c>
      <c r="D717" t="s">
        <v>118</v>
      </c>
      <c r="E717" s="6">
        <v>55.63</v>
      </c>
    </row>
    <row r="718" spans="1:5" ht="15" customHeight="1" x14ac:dyDescent="0.25">
      <c r="A718">
        <v>626</v>
      </c>
      <c r="B718" t="s">
        <v>131</v>
      </c>
      <c r="C718">
        <v>5</v>
      </c>
      <c r="D718" t="s">
        <v>119</v>
      </c>
      <c r="E718" s="6">
        <v>103.17</v>
      </c>
    </row>
    <row r="719" spans="1:5" ht="15" customHeight="1" x14ac:dyDescent="0.25">
      <c r="A719">
        <v>626</v>
      </c>
      <c r="B719" t="s">
        <v>131</v>
      </c>
      <c r="C719">
        <v>11</v>
      </c>
      <c r="D719" t="s">
        <v>120</v>
      </c>
      <c r="E719" s="6">
        <v>82.04</v>
      </c>
    </row>
    <row r="720" spans="1:5" ht="15" customHeight="1" x14ac:dyDescent="0.25">
      <c r="A720">
        <v>626</v>
      </c>
      <c r="B720" t="s">
        <v>131</v>
      </c>
      <c r="C720">
        <v>12</v>
      </c>
      <c r="D720" t="s">
        <v>121</v>
      </c>
      <c r="E720" s="6">
        <v>55.08</v>
      </c>
    </row>
    <row r="721" spans="1:5" ht="15" customHeight="1" x14ac:dyDescent="0.25">
      <c r="A721">
        <v>626</v>
      </c>
      <c r="B721" t="s">
        <v>131</v>
      </c>
      <c r="C721">
        <v>29</v>
      </c>
      <c r="D721" t="s">
        <v>122</v>
      </c>
      <c r="E721" s="6">
        <v>121.67</v>
      </c>
    </row>
    <row r="722" spans="1:5" ht="15" customHeight="1" x14ac:dyDescent="0.25">
      <c r="A722">
        <v>626</v>
      </c>
      <c r="B722" t="s">
        <v>131</v>
      </c>
      <c r="C722">
        <v>70</v>
      </c>
      <c r="D722" t="s">
        <v>123</v>
      </c>
      <c r="E722" s="6">
        <v>83.35</v>
      </c>
    </row>
    <row r="723" spans="1:5" ht="15" customHeight="1" x14ac:dyDescent="0.25">
      <c r="A723">
        <v>626</v>
      </c>
      <c r="B723" t="s">
        <v>131</v>
      </c>
      <c r="C723">
        <v>71</v>
      </c>
      <c r="D723" t="s">
        <v>124</v>
      </c>
      <c r="E723" s="6">
        <v>128.97</v>
      </c>
    </row>
    <row r="724" spans="1:5" ht="15" customHeight="1" x14ac:dyDescent="0.25">
      <c r="A724">
        <v>626</v>
      </c>
      <c r="B724" t="s">
        <v>131</v>
      </c>
      <c r="C724">
        <v>384</v>
      </c>
      <c r="D724" t="s">
        <v>125</v>
      </c>
      <c r="E724" s="6">
        <v>4.0999999999999996</v>
      </c>
    </row>
    <row r="725" spans="1:5" ht="15" customHeight="1" x14ac:dyDescent="0.25">
      <c r="A725">
        <v>626</v>
      </c>
      <c r="B725" t="s">
        <v>131</v>
      </c>
      <c r="C725">
        <v>429</v>
      </c>
      <c r="D725" t="s">
        <v>126</v>
      </c>
      <c r="E725" s="6">
        <v>72.89</v>
      </c>
    </row>
    <row r="726" spans="1:5" ht="15" customHeight="1" x14ac:dyDescent="0.25">
      <c r="A726">
        <v>626</v>
      </c>
      <c r="B726" t="s">
        <v>131</v>
      </c>
      <c r="C726">
        <v>486</v>
      </c>
      <c r="D726" t="s">
        <v>127</v>
      </c>
      <c r="E726" s="6">
        <v>65.959999999999994</v>
      </c>
    </row>
    <row r="727" spans="1:5" ht="15" customHeight="1" x14ac:dyDescent="0.25">
      <c r="A727">
        <v>626</v>
      </c>
      <c r="B727" t="s">
        <v>131</v>
      </c>
      <c r="C727">
        <v>546</v>
      </c>
      <c r="D727" t="s">
        <v>128</v>
      </c>
      <c r="E727" s="6">
        <v>70.180000000000007</v>
      </c>
    </row>
    <row r="728" spans="1:5" ht="15" customHeight="1" x14ac:dyDescent="0.25">
      <c r="A728">
        <v>626</v>
      </c>
      <c r="B728" t="s">
        <v>131</v>
      </c>
      <c r="C728">
        <v>599</v>
      </c>
      <c r="D728" t="s">
        <v>129</v>
      </c>
      <c r="E728" s="6">
        <v>4.3</v>
      </c>
    </row>
    <row r="729" spans="1:5" ht="15" customHeight="1" x14ac:dyDescent="0.25">
      <c r="A729">
        <v>626</v>
      </c>
      <c r="B729" t="s">
        <v>131</v>
      </c>
      <c r="C729">
        <v>620</v>
      </c>
      <c r="D729" t="s">
        <v>130</v>
      </c>
      <c r="E729" s="6">
        <v>44.54</v>
      </c>
    </row>
    <row r="730" spans="1:5" ht="15" customHeight="1" x14ac:dyDescent="0.25">
      <c r="A730">
        <v>626</v>
      </c>
      <c r="B730" t="s">
        <v>131</v>
      </c>
      <c r="C730">
        <v>626</v>
      </c>
      <c r="D730" t="s">
        <v>131</v>
      </c>
      <c r="E730" s="6">
        <v>0</v>
      </c>
    </row>
    <row r="731" spans="1:5" ht="15" customHeight="1" x14ac:dyDescent="0.25">
      <c r="A731">
        <v>626</v>
      </c>
      <c r="B731" t="s">
        <v>131</v>
      </c>
      <c r="C731">
        <v>627</v>
      </c>
      <c r="D731" t="s">
        <v>132</v>
      </c>
      <c r="E731" s="6">
        <v>8.4600000000000009</v>
      </c>
    </row>
    <row r="732" spans="1:5" ht="15" customHeight="1" x14ac:dyDescent="0.25">
      <c r="A732">
        <v>626</v>
      </c>
      <c r="B732" t="s">
        <v>131</v>
      </c>
      <c r="C732">
        <v>651</v>
      </c>
      <c r="D732" t="s">
        <v>133</v>
      </c>
      <c r="E732" s="6">
        <v>5.52</v>
      </c>
    </row>
    <row r="733" spans="1:5" ht="15" customHeight="1" x14ac:dyDescent="0.25">
      <c r="A733">
        <v>626</v>
      </c>
      <c r="B733" t="s">
        <v>131</v>
      </c>
      <c r="C733">
        <v>668</v>
      </c>
      <c r="D733" t="s">
        <v>134</v>
      </c>
      <c r="E733" s="6">
        <v>2.57</v>
      </c>
    </row>
    <row r="734" spans="1:5" ht="15" customHeight="1" x14ac:dyDescent="0.25">
      <c r="A734">
        <v>626</v>
      </c>
      <c r="B734" t="s">
        <v>131</v>
      </c>
      <c r="C734">
        <v>681</v>
      </c>
      <c r="D734" t="s">
        <v>135</v>
      </c>
      <c r="E734" s="6">
        <v>4.5999999999999996</v>
      </c>
    </row>
    <row r="735" spans="1:5" ht="15" customHeight="1" x14ac:dyDescent="0.25">
      <c r="A735">
        <v>626</v>
      </c>
      <c r="B735" t="s">
        <v>131</v>
      </c>
      <c r="C735">
        <v>682</v>
      </c>
      <c r="D735" t="s">
        <v>136</v>
      </c>
      <c r="E735" s="6">
        <v>3.95</v>
      </c>
    </row>
    <row r="736" spans="1:5" ht="15" customHeight="1" x14ac:dyDescent="0.25">
      <c r="A736">
        <v>626</v>
      </c>
      <c r="B736" t="s">
        <v>131</v>
      </c>
      <c r="C736">
        <v>683</v>
      </c>
      <c r="D736" t="s">
        <v>137</v>
      </c>
      <c r="E736" s="6">
        <v>4</v>
      </c>
    </row>
    <row r="737" spans="1:5" ht="15" customHeight="1" x14ac:dyDescent="0.25">
      <c r="A737">
        <v>626</v>
      </c>
      <c r="B737" t="s">
        <v>131</v>
      </c>
      <c r="C737">
        <v>684</v>
      </c>
      <c r="D737" t="s">
        <v>138</v>
      </c>
      <c r="E737" s="6">
        <v>2.17</v>
      </c>
    </row>
    <row r="738" spans="1:5" ht="15" customHeight="1" x14ac:dyDescent="0.25">
      <c r="A738">
        <v>626</v>
      </c>
      <c r="B738" t="s">
        <v>131</v>
      </c>
      <c r="C738">
        <v>685</v>
      </c>
      <c r="D738" t="s">
        <v>139</v>
      </c>
      <c r="E738" s="6">
        <v>3.26</v>
      </c>
    </row>
    <row r="739" spans="1:5" ht="15" customHeight="1" x14ac:dyDescent="0.25">
      <c r="A739">
        <v>626</v>
      </c>
      <c r="B739" t="s">
        <v>131</v>
      </c>
      <c r="C739">
        <v>691</v>
      </c>
      <c r="D739" t="s">
        <v>140</v>
      </c>
      <c r="E739" s="6">
        <v>4.17</v>
      </c>
    </row>
    <row r="740" spans="1:5" ht="15" customHeight="1" x14ac:dyDescent="0.25">
      <c r="A740">
        <v>626</v>
      </c>
      <c r="B740" t="s">
        <v>131</v>
      </c>
      <c r="C740">
        <v>706</v>
      </c>
      <c r="D740" t="s">
        <v>141</v>
      </c>
      <c r="E740" s="6">
        <v>5.18</v>
      </c>
    </row>
    <row r="741" spans="1:5" ht="15" customHeight="1" x14ac:dyDescent="0.25">
      <c r="A741">
        <v>626</v>
      </c>
      <c r="B741" t="s">
        <v>131</v>
      </c>
      <c r="C741">
        <v>713</v>
      </c>
      <c r="D741" t="s">
        <v>142</v>
      </c>
      <c r="E741" s="6">
        <v>2.99</v>
      </c>
    </row>
    <row r="742" spans="1:5" ht="15" customHeight="1" x14ac:dyDescent="0.25">
      <c r="A742">
        <v>626</v>
      </c>
      <c r="B742" t="s">
        <v>131</v>
      </c>
      <c r="C742">
        <v>718</v>
      </c>
      <c r="D742" t="s">
        <v>143</v>
      </c>
      <c r="E742" s="6">
        <v>6.46</v>
      </c>
    </row>
    <row r="743" spans="1:5" ht="15" customHeight="1" x14ac:dyDescent="0.25">
      <c r="A743">
        <v>626</v>
      </c>
      <c r="B743" t="s">
        <v>131</v>
      </c>
      <c r="C743">
        <v>731</v>
      </c>
      <c r="D743" t="s">
        <v>144</v>
      </c>
      <c r="E743" s="6">
        <v>27.47</v>
      </c>
    </row>
    <row r="744" spans="1:5" ht="15" customHeight="1" x14ac:dyDescent="0.25">
      <c r="A744">
        <v>626</v>
      </c>
      <c r="B744" t="s">
        <v>131</v>
      </c>
      <c r="C744">
        <v>743</v>
      </c>
      <c r="D744" t="s">
        <v>145</v>
      </c>
      <c r="E744" s="6">
        <v>12.41</v>
      </c>
    </row>
    <row r="745" spans="1:5" ht="15" customHeight="1" x14ac:dyDescent="0.25">
      <c r="A745">
        <v>626</v>
      </c>
      <c r="B745" t="s">
        <v>131</v>
      </c>
      <c r="C745">
        <v>760</v>
      </c>
      <c r="D745" t="s">
        <v>146</v>
      </c>
      <c r="E745" s="6">
        <v>3.37</v>
      </c>
    </row>
    <row r="746" spans="1:5" ht="15" customHeight="1" x14ac:dyDescent="0.25">
      <c r="A746">
        <v>626</v>
      </c>
      <c r="B746" t="s">
        <v>131</v>
      </c>
      <c r="C746">
        <v>765</v>
      </c>
      <c r="D746" t="s">
        <v>147</v>
      </c>
      <c r="E746" s="6">
        <v>0.98</v>
      </c>
    </row>
    <row r="747" spans="1:5" ht="15" customHeight="1" x14ac:dyDescent="0.25">
      <c r="A747">
        <v>626</v>
      </c>
      <c r="B747" t="s">
        <v>131</v>
      </c>
      <c r="C747">
        <v>766</v>
      </c>
      <c r="D747" t="s">
        <v>148</v>
      </c>
      <c r="E747" s="6">
        <v>5.22</v>
      </c>
    </row>
    <row r="748" spans="1:5" ht="15" customHeight="1" x14ac:dyDescent="0.25">
      <c r="A748">
        <v>626</v>
      </c>
      <c r="B748" t="s">
        <v>131</v>
      </c>
      <c r="C748">
        <v>767</v>
      </c>
      <c r="D748" t="s">
        <v>149</v>
      </c>
      <c r="E748" s="6">
        <v>9.42</v>
      </c>
    </row>
    <row r="749" spans="1:5" ht="15" customHeight="1" x14ac:dyDescent="0.25">
      <c r="A749">
        <v>626</v>
      </c>
      <c r="B749" t="s">
        <v>131</v>
      </c>
      <c r="C749">
        <v>795</v>
      </c>
      <c r="D749" t="s">
        <v>150</v>
      </c>
      <c r="E749" s="6">
        <v>2.9</v>
      </c>
    </row>
    <row r="750" spans="1:5" ht="15" customHeight="1" x14ac:dyDescent="0.25">
      <c r="A750">
        <v>626</v>
      </c>
      <c r="B750" t="s">
        <v>131</v>
      </c>
      <c r="C750">
        <v>798</v>
      </c>
      <c r="D750" t="s">
        <v>151</v>
      </c>
      <c r="E750" s="6">
        <v>4.43</v>
      </c>
    </row>
    <row r="751" spans="1:5" ht="15" customHeight="1" x14ac:dyDescent="0.25">
      <c r="A751">
        <v>626</v>
      </c>
      <c r="B751" t="s">
        <v>131</v>
      </c>
      <c r="C751">
        <v>799</v>
      </c>
      <c r="D751" t="s">
        <v>152</v>
      </c>
      <c r="E751" s="6">
        <v>0.88</v>
      </c>
    </row>
    <row r="752" spans="1:5" ht="15" customHeight="1" x14ac:dyDescent="0.25">
      <c r="A752">
        <v>626</v>
      </c>
      <c r="B752" t="s">
        <v>131</v>
      </c>
      <c r="C752">
        <v>811</v>
      </c>
      <c r="D752" t="s">
        <v>153</v>
      </c>
      <c r="E752" s="6">
        <v>8.4700000000000006</v>
      </c>
    </row>
    <row r="753" spans="1:5" ht="15" customHeight="1" x14ac:dyDescent="0.25">
      <c r="A753">
        <v>626</v>
      </c>
      <c r="B753" t="s">
        <v>131</v>
      </c>
      <c r="C753">
        <v>820</v>
      </c>
      <c r="D753" t="s">
        <v>154</v>
      </c>
      <c r="E753" s="6">
        <v>3.43</v>
      </c>
    </row>
    <row r="754" spans="1:5" ht="15" customHeight="1" x14ac:dyDescent="0.25">
      <c r="A754">
        <v>626</v>
      </c>
      <c r="B754" t="s">
        <v>131</v>
      </c>
      <c r="C754">
        <v>830</v>
      </c>
      <c r="D754" t="s">
        <v>155</v>
      </c>
      <c r="E754" s="6">
        <v>3.94</v>
      </c>
    </row>
    <row r="755" spans="1:5" ht="15" customHeight="1" x14ac:dyDescent="0.25">
      <c r="A755">
        <v>626</v>
      </c>
      <c r="B755" t="s">
        <v>131</v>
      </c>
      <c r="C755">
        <v>831</v>
      </c>
      <c r="D755" t="s">
        <v>156</v>
      </c>
      <c r="E755" s="6">
        <v>5.66</v>
      </c>
    </row>
    <row r="756" spans="1:5" ht="15" customHeight="1" x14ac:dyDescent="0.25">
      <c r="A756">
        <v>626</v>
      </c>
      <c r="B756" t="s">
        <v>131</v>
      </c>
      <c r="C756">
        <v>832</v>
      </c>
      <c r="D756" t="s">
        <v>157</v>
      </c>
      <c r="E756" s="6">
        <v>3.23</v>
      </c>
    </row>
    <row r="757" spans="1:5" ht="15" customHeight="1" x14ac:dyDescent="0.25">
      <c r="A757">
        <v>626</v>
      </c>
      <c r="B757" t="s">
        <v>131</v>
      </c>
      <c r="C757">
        <v>833</v>
      </c>
      <c r="D757" t="s">
        <v>158</v>
      </c>
      <c r="E757" s="6">
        <v>1.86</v>
      </c>
    </row>
    <row r="758" spans="1:5" ht="15" customHeight="1" x14ac:dyDescent="0.25">
      <c r="A758">
        <v>626</v>
      </c>
      <c r="B758" t="s">
        <v>131</v>
      </c>
      <c r="C758">
        <v>840</v>
      </c>
      <c r="D758" t="s">
        <v>159</v>
      </c>
      <c r="E758" s="6">
        <v>4.12</v>
      </c>
    </row>
    <row r="759" spans="1:5" ht="15" customHeight="1" x14ac:dyDescent="0.25">
      <c r="A759">
        <v>626</v>
      </c>
      <c r="B759" t="s">
        <v>131</v>
      </c>
      <c r="C759">
        <v>841</v>
      </c>
      <c r="D759" t="s">
        <v>160</v>
      </c>
      <c r="E759" s="6">
        <v>4.25</v>
      </c>
    </row>
    <row r="760" spans="1:5" ht="15" customHeight="1" x14ac:dyDescent="0.25">
      <c r="A760">
        <v>626</v>
      </c>
      <c r="B760" t="s">
        <v>131</v>
      </c>
      <c r="C760">
        <v>842</v>
      </c>
      <c r="D760" t="s">
        <v>161</v>
      </c>
      <c r="E760" s="6">
        <v>5.0199999999999996</v>
      </c>
    </row>
    <row r="761" spans="1:5" ht="15" customHeight="1" x14ac:dyDescent="0.25">
      <c r="A761">
        <v>626</v>
      </c>
      <c r="B761" t="s">
        <v>131</v>
      </c>
      <c r="C761">
        <v>847</v>
      </c>
      <c r="D761" t="s">
        <v>162</v>
      </c>
      <c r="E761" s="6">
        <v>4.72</v>
      </c>
    </row>
    <row r="762" spans="1:5" ht="15" customHeight="1" x14ac:dyDescent="0.25">
      <c r="A762">
        <v>626</v>
      </c>
      <c r="B762" t="s">
        <v>131</v>
      </c>
      <c r="C762">
        <v>877</v>
      </c>
      <c r="D762" t="s">
        <v>163</v>
      </c>
      <c r="E762" s="6">
        <v>17.95</v>
      </c>
    </row>
    <row r="763" spans="1:5" ht="15" customHeight="1" x14ac:dyDescent="0.25">
      <c r="A763">
        <v>626</v>
      </c>
      <c r="B763" t="s">
        <v>131</v>
      </c>
      <c r="C763">
        <v>898</v>
      </c>
      <c r="D763" t="s">
        <v>164</v>
      </c>
      <c r="E763" s="6">
        <v>2.16</v>
      </c>
    </row>
    <row r="764" spans="1:5" ht="15" customHeight="1" x14ac:dyDescent="0.25">
      <c r="A764">
        <v>626</v>
      </c>
      <c r="B764" t="s">
        <v>131</v>
      </c>
      <c r="C764">
        <v>899</v>
      </c>
      <c r="D764" t="s">
        <v>165</v>
      </c>
      <c r="E764" s="6">
        <v>6.81</v>
      </c>
    </row>
    <row r="765" spans="1:5" ht="15" customHeight="1" x14ac:dyDescent="0.25">
      <c r="A765">
        <v>626</v>
      </c>
      <c r="B765" t="s">
        <v>131</v>
      </c>
      <c r="C765">
        <v>1912</v>
      </c>
      <c r="D765" t="s">
        <v>166</v>
      </c>
      <c r="E765" s="6">
        <v>23.23</v>
      </c>
    </row>
    <row r="766" spans="1:5" ht="15" customHeight="1" x14ac:dyDescent="0.25">
      <c r="A766">
        <v>626</v>
      </c>
      <c r="B766" t="s">
        <v>131</v>
      </c>
      <c r="C766">
        <v>9999</v>
      </c>
      <c r="D766" t="s">
        <v>117</v>
      </c>
      <c r="E766" s="6">
        <v>3.49</v>
      </c>
    </row>
    <row r="767" spans="1:5" ht="15" customHeight="1" x14ac:dyDescent="0.25">
      <c r="A767">
        <v>627</v>
      </c>
      <c r="B767" t="s">
        <v>132</v>
      </c>
      <c r="C767">
        <v>1</v>
      </c>
      <c r="D767" t="s">
        <v>117</v>
      </c>
      <c r="E767" s="6">
        <v>4.9800000000000004</v>
      </c>
    </row>
    <row r="768" spans="1:5" ht="15" customHeight="1" x14ac:dyDescent="0.25">
      <c r="A768">
        <v>627</v>
      </c>
      <c r="B768" t="s">
        <v>132</v>
      </c>
      <c r="C768">
        <v>3</v>
      </c>
      <c r="D768" t="s">
        <v>118</v>
      </c>
      <c r="E768" s="6">
        <v>62.91</v>
      </c>
    </row>
    <row r="769" spans="1:5" ht="15" customHeight="1" x14ac:dyDescent="0.25">
      <c r="A769">
        <v>627</v>
      </c>
      <c r="B769" t="s">
        <v>132</v>
      </c>
      <c r="C769">
        <v>5</v>
      </c>
      <c r="D769" t="s">
        <v>119</v>
      </c>
      <c r="E769" s="6">
        <v>110.07</v>
      </c>
    </row>
    <row r="770" spans="1:5" ht="15" customHeight="1" x14ac:dyDescent="0.25">
      <c r="A770">
        <v>627</v>
      </c>
      <c r="B770" t="s">
        <v>132</v>
      </c>
      <c r="C770">
        <v>11</v>
      </c>
      <c r="D770" t="s">
        <v>120</v>
      </c>
      <c r="E770" s="6">
        <v>90.5</v>
      </c>
    </row>
    <row r="771" spans="1:5" ht="15" customHeight="1" x14ac:dyDescent="0.25">
      <c r="A771">
        <v>627</v>
      </c>
      <c r="B771" t="s">
        <v>132</v>
      </c>
      <c r="C771">
        <v>12</v>
      </c>
      <c r="D771" t="s">
        <v>121</v>
      </c>
      <c r="E771" s="6">
        <v>55.4</v>
      </c>
    </row>
    <row r="772" spans="1:5" ht="15" customHeight="1" x14ac:dyDescent="0.25">
      <c r="A772">
        <v>627</v>
      </c>
      <c r="B772" t="s">
        <v>132</v>
      </c>
      <c r="C772">
        <v>29</v>
      </c>
      <c r="D772" t="s">
        <v>122</v>
      </c>
      <c r="E772" s="6">
        <v>119.39</v>
      </c>
    </row>
    <row r="773" spans="1:5" ht="15" customHeight="1" x14ac:dyDescent="0.25">
      <c r="A773">
        <v>627</v>
      </c>
      <c r="B773" t="s">
        <v>132</v>
      </c>
      <c r="C773">
        <v>70</v>
      </c>
      <c r="D773" t="s">
        <v>123</v>
      </c>
      <c r="E773" s="6">
        <v>79.59</v>
      </c>
    </row>
    <row r="774" spans="1:5" ht="15" customHeight="1" x14ac:dyDescent="0.25">
      <c r="A774">
        <v>627</v>
      </c>
      <c r="B774" t="s">
        <v>132</v>
      </c>
      <c r="C774">
        <v>71</v>
      </c>
      <c r="D774" t="s">
        <v>124</v>
      </c>
      <c r="E774" s="6">
        <v>121.19</v>
      </c>
    </row>
    <row r="775" spans="1:5" ht="15" customHeight="1" x14ac:dyDescent="0.25">
      <c r="A775">
        <v>627</v>
      </c>
      <c r="B775" t="s">
        <v>132</v>
      </c>
      <c r="C775">
        <v>384</v>
      </c>
      <c r="D775" t="s">
        <v>125</v>
      </c>
      <c r="E775" s="6">
        <v>4.4000000000000004</v>
      </c>
    </row>
    <row r="776" spans="1:5" ht="15" customHeight="1" x14ac:dyDescent="0.25">
      <c r="A776">
        <v>627</v>
      </c>
      <c r="B776" t="s">
        <v>132</v>
      </c>
      <c r="C776">
        <v>429</v>
      </c>
      <c r="D776" t="s">
        <v>126</v>
      </c>
      <c r="E776" s="6">
        <v>65.12</v>
      </c>
    </row>
    <row r="777" spans="1:5" ht="15" customHeight="1" x14ac:dyDescent="0.25">
      <c r="A777">
        <v>627</v>
      </c>
      <c r="B777" t="s">
        <v>132</v>
      </c>
      <c r="C777">
        <v>486</v>
      </c>
      <c r="D777" t="s">
        <v>127</v>
      </c>
      <c r="E777" s="6">
        <v>68.25</v>
      </c>
    </row>
    <row r="778" spans="1:5" ht="15" customHeight="1" x14ac:dyDescent="0.25">
      <c r="A778">
        <v>627</v>
      </c>
      <c r="B778" t="s">
        <v>132</v>
      </c>
      <c r="C778">
        <v>546</v>
      </c>
      <c r="D778" t="s">
        <v>128</v>
      </c>
      <c r="E778" s="6">
        <v>76.25</v>
      </c>
    </row>
    <row r="779" spans="1:5" ht="15" customHeight="1" x14ac:dyDescent="0.25">
      <c r="A779">
        <v>627</v>
      </c>
      <c r="B779" t="s">
        <v>132</v>
      </c>
      <c r="C779">
        <v>599</v>
      </c>
      <c r="D779" t="s">
        <v>129</v>
      </c>
      <c r="E779" s="6">
        <v>9.23</v>
      </c>
    </row>
    <row r="780" spans="1:5" ht="15" customHeight="1" x14ac:dyDescent="0.25">
      <c r="A780">
        <v>627</v>
      </c>
      <c r="B780" t="s">
        <v>132</v>
      </c>
      <c r="C780">
        <v>620</v>
      </c>
      <c r="D780" t="s">
        <v>130</v>
      </c>
      <c r="E780" s="6">
        <v>36.97</v>
      </c>
    </row>
    <row r="781" spans="1:5" ht="15" customHeight="1" x14ac:dyDescent="0.25">
      <c r="A781">
        <v>627</v>
      </c>
      <c r="B781" t="s">
        <v>132</v>
      </c>
      <c r="C781">
        <v>626</v>
      </c>
      <c r="D781" t="s">
        <v>131</v>
      </c>
      <c r="E781" s="6">
        <v>8.4600000000000009</v>
      </c>
    </row>
    <row r="782" spans="1:5" ht="15" customHeight="1" x14ac:dyDescent="0.25">
      <c r="A782">
        <v>627</v>
      </c>
      <c r="B782" t="s">
        <v>132</v>
      </c>
      <c r="C782">
        <v>627</v>
      </c>
      <c r="D782" t="s">
        <v>132</v>
      </c>
      <c r="E782" s="6">
        <v>0</v>
      </c>
    </row>
    <row r="783" spans="1:5" ht="15" customHeight="1" x14ac:dyDescent="0.25">
      <c r="A783">
        <v>627</v>
      </c>
      <c r="B783" t="s">
        <v>132</v>
      </c>
      <c r="C783">
        <v>651</v>
      </c>
      <c r="D783" t="s">
        <v>133</v>
      </c>
      <c r="E783" s="6">
        <v>3.46</v>
      </c>
    </row>
    <row r="784" spans="1:5" ht="15" customHeight="1" x14ac:dyDescent="0.25">
      <c r="A784">
        <v>627</v>
      </c>
      <c r="B784" t="s">
        <v>132</v>
      </c>
      <c r="C784">
        <v>668</v>
      </c>
      <c r="D784" t="s">
        <v>134</v>
      </c>
      <c r="E784" s="6">
        <v>7.77</v>
      </c>
    </row>
    <row r="785" spans="1:5" ht="15" customHeight="1" x14ac:dyDescent="0.25">
      <c r="A785">
        <v>627</v>
      </c>
      <c r="B785" t="s">
        <v>132</v>
      </c>
      <c r="C785">
        <v>681</v>
      </c>
      <c r="D785" t="s">
        <v>135</v>
      </c>
      <c r="E785" s="6">
        <v>5.87</v>
      </c>
    </row>
    <row r="786" spans="1:5" ht="15" customHeight="1" x14ac:dyDescent="0.25">
      <c r="A786">
        <v>627</v>
      </c>
      <c r="B786" t="s">
        <v>132</v>
      </c>
      <c r="C786">
        <v>682</v>
      </c>
      <c r="D786" t="s">
        <v>136</v>
      </c>
      <c r="E786" s="6">
        <v>4.6500000000000004</v>
      </c>
    </row>
    <row r="787" spans="1:5" ht="15" customHeight="1" x14ac:dyDescent="0.25">
      <c r="A787">
        <v>627</v>
      </c>
      <c r="B787" t="s">
        <v>132</v>
      </c>
      <c r="C787">
        <v>683</v>
      </c>
      <c r="D787" t="s">
        <v>137</v>
      </c>
      <c r="E787" s="6">
        <v>4.46</v>
      </c>
    </row>
    <row r="788" spans="1:5" ht="15" customHeight="1" x14ac:dyDescent="0.25">
      <c r="A788">
        <v>627</v>
      </c>
      <c r="B788" t="s">
        <v>132</v>
      </c>
      <c r="C788">
        <v>684</v>
      </c>
      <c r="D788" t="s">
        <v>138</v>
      </c>
      <c r="E788" s="6">
        <v>6.29</v>
      </c>
    </row>
    <row r="789" spans="1:5" ht="15" customHeight="1" x14ac:dyDescent="0.25">
      <c r="A789">
        <v>627</v>
      </c>
      <c r="B789" t="s">
        <v>132</v>
      </c>
      <c r="C789">
        <v>685</v>
      </c>
      <c r="D789" t="s">
        <v>139</v>
      </c>
      <c r="E789" s="6">
        <v>5.78</v>
      </c>
    </row>
    <row r="790" spans="1:5" ht="15" customHeight="1" x14ac:dyDescent="0.25">
      <c r="A790">
        <v>627</v>
      </c>
      <c r="B790" t="s">
        <v>132</v>
      </c>
      <c r="C790">
        <v>691</v>
      </c>
      <c r="D790" t="s">
        <v>140</v>
      </c>
      <c r="E790" s="6">
        <v>6.24</v>
      </c>
    </row>
    <row r="791" spans="1:5" ht="15" customHeight="1" x14ac:dyDescent="0.25">
      <c r="A791">
        <v>627</v>
      </c>
      <c r="B791" t="s">
        <v>132</v>
      </c>
      <c r="C791">
        <v>706</v>
      </c>
      <c r="D791" t="s">
        <v>141</v>
      </c>
      <c r="E791" s="6">
        <v>3.54</v>
      </c>
    </row>
    <row r="792" spans="1:5" ht="15" customHeight="1" x14ac:dyDescent="0.25">
      <c r="A792">
        <v>627</v>
      </c>
      <c r="B792" t="s">
        <v>132</v>
      </c>
      <c r="C792">
        <v>713</v>
      </c>
      <c r="D792" t="s">
        <v>142</v>
      </c>
      <c r="E792" s="6">
        <v>6.17</v>
      </c>
    </row>
    <row r="793" spans="1:5" ht="15" customHeight="1" x14ac:dyDescent="0.25">
      <c r="A793">
        <v>627</v>
      </c>
      <c r="B793" t="s">
        <v>132</v>
      </c>
      <c r="C793">
        <v>718</v>
      </c>
      <c r="D793" t="s">
        <v>143</v>
      </c>
      <c r="E793" s="6">
        <v>2.4300000000000002</v>
      </c>
    </row>
    <row r="794" spans="1:5" ht="15" customHeight="1" x14ac:dyDescent="0.25">
      <c r="A794">
        <v>627</v>
      </c>
      <c r="B794" t="s">
        <v>132</v>
      </c>
      <c r="C794">
        <v>731</v>
      </c>
      <c r="D794" t="s">
        <v>144</v>
      </c>
      <c r="E794" s="6">
        <v>34.93</v>
      </c>
    </row>
    <row r="795" spans="1:5" ht="15" customHeight="1" x14ac:dyDescent="0.25">
      <c r="A795">
        <v>627</v>
      </c>
      <c r="B795" t="s">
        <v>132</v>
      </c>
      <c r="C795">
        <v>743</v>
      </c>
      <c r="D795" t="s">
        <v>145</v>
      </c>
      <c r="E795" s="6">
        <v>18.489999999999998</v>
      </c>
    </row>
    <row r="796" spans="1:5" ht="15" customHeight="1" x14ac:dyDescent="0.25">
      <c r="A796">
        <v>627</v>
      </c>
      <c r="B796" t="s">
        <v>132</v>
      </c>
      <c r="C796">
        <v>760</v>
      </c>
      <c r="D796" t="s">
        <v>146</v>
      </c>
      <c r="E796" s="6">
        <v>6.19</v>
      </c>
    </row>
    <row r="797" spans="1:5" ht="15" customHeight="1" x14ac:dyDescent="0.25">
      <c r="A797">
        <v>627</v>
      </c>
      <c r="B797" t="s">
        <v>132</v>
      </c>
      <c r="C797">
        <v>765</v>
      </c>
      <c r="D797" t="s">
        <v>147</v>
      </c>
      <c r="E797" s="6">
        <v>9.3800000000000008</v>
      </c>
    </row>
    <row r="798" spans="1:5" ht="15" customHeight="1" x14ac:dyDescent="0.25">
      <c r="A798">
        <v>627</v>
      </c>
      <c r="B798" t="s">
        <v>132</v>
      </c>
      <c r="C798">
        <v>766</v>
      </c>
      <c r="D798" t="s">
        <v>148</v>
      </c>
      <c r="E798" s="6">
        <v>3.38</v>
      </c>
    </row>
    <row r="799" spans="1:5" ht="15" customHeight="1" x14ac:dyDescent="0.25">
      <c r="A799">
        <v>627</v>
      </c>
      <c r="B799" t="s">
        <v>132</v>
      </c>
      <c r="C799">
        <v>767</v>
      </c>
      <c r="D799" t="s">
        <v>149</v>
      </c>
      <c r="E799" s="6">
        <v>2.9</v>
      </c>
    </row>
    <row r="800" spans="1:5" ht="15" customHeight="1" x14ac:dyDescent="0.25">
      <c r="A800">
        <v>627</v>
      </c>
      <c r="B800" t="s">
        <v>132</v>
      </c>
      <c r="C800">
        <v>795</v>
      </c>
      <c r="D800" t="s">
        <v>150</v>
      </c>
      <c r="E800" s="6">
        <v>5.79</v>
      </c>
    </row>
    <row r="801" spans="1:5" ht="15" customHeight="1" x14ac:dyDescent="0.25">
      <c r="A801">
        <v>627</v>
      </c>
      <c r="B801" t="s">
        <v>132</v>
      </c>
      <c r="C801">
        <v>798</v>
      </c>
      <c r="D801" t="s">
        <v>151</v>
      </c>
      <c r="E801" s="6">
        <v>7.74</v>
      </c>
    </row>
    <row r="802" spans="1:5" ht="15" customHeight="1" x14ac:dyDescent="0.25">
      <c r="A802">
        <v>627</v>
      </c>
      <c r="B802" t="s">
        <v>132</v>
      </c>
      <c r="C802">
        <v>799</v>
      </c>
      <c r="D802" t="s">
        <v>152</v>
      </c>
      <c r="E802" s="6">
        <v>8.14</v>
      </c>
    </row>
    <row r="803" spans="1:5" ht="15" customHeight="1" x14ac:dyDescent="0.25">
      <c r="A803">
        <v>627</v>
      </c>
      <c r="B803" t="s">
        <v>132</v>
      </c>
      <c r="C803">
        <v>811</v>
      </c>
      <c r="D803" t="s">
        <v>153</v>
      </c>
      <c r="E803" s="6">
        <v>4.93</v>
      </c>
    </row>
    <row r="804" spans="1:5" ht="15" customHeight="1" x14ac:dyDescent="0.25">
      <c r="A804">
        <v>627</v>
      </c>
      <c r="B804" t="s">
        <v>132</v>
      </c>
      <c r="C804">
        <v>820</v>
      </c>
      <c r="D804" t="s">
        <v>154</v>
      </c>
      <c r="E804" s="6">
        <v>7.05</v>
      </c>
    </row>
    <row r="805" spans="1:5" ht="15" customHeight="1" x14ac:dyDescent="0.25">
      <c r="A805">
        <v>627</v>
      </c>
      <c r="B805" t="s">
        <v>132</v>
      </c>
      <c r="C805">
        <v>830</v>
      </c>
      <c r="D805" t="s">
        <v>155</v>
      </c>
      <c r="E805" s="6">
        <v>7.01</v>
      </c>
    </row>
    <row r="806" spans="1:5" ht="15" customHeight="1" x14ac:dyDescent="0.25">
      <c r="A806">
        <v>627</v>
      </c>
      <c r="B806" t="s">
        <v>132</v>
      </c>
      <c r="C806">
        <v>831</v>
      </c>
      <c r="D806" t="s">
        <v>156</v>
      </c>
      <c r="E806" s="6">
        <v>11.62</v>
      </c>
    </row>
    <row r="807" spans="1:5" ht="15" customHeight="1" x14ac:dyDescent="0.25">
      <c r="A807">
        <v>627</v>
      </c>
      <c r="B807" t="s">
        <v>132</v>
      </c>
      <c r="C807">
        <v>832</v>
      </c>
      <c r="D807" t="s">
        <v>157</v>
      </c>
      <c r="E807" s="6">
        <v>7.41</v>
      </c>
    </row>
    <row r="808" spans="1:5" ht="15" customHeight="1" x14ac:dyDescent="0.25">
      <c r="A808">
        <v>627</v>
      </c>
      <c r="B808" t="s">
        <v>132</v>
      </c>
      <c r="C808">
        <v>833</v>
      </c>
      <c r="D808" t="s">
        <v>158</v>
      </c>
      <c r="E808" s="6">
        <v>6.78</v>
      </c>
    </row>
    <row r="809" spans="1:5" ht="15" customHeight="1" x14ac:dyDescent="0.25">
      <c r="A809">
        <v>627</v>
      </c>
      <c r="B809" t="s">
        <v>132</v>
      </c>
      <c r="C809">
        <v>840</v>
      </c>
      <c r="D809" t="s">
        <v>159</v>
      </c>
      <c r="E809" s="6">
        <v>9.58</v>
      </c>
    </row>
    <row r="810" spans="1:5" ht="15" customHeight="1" x14ac:dyDescent="0.25">
      <c r="A810">
        <v>627</v>
      </c>
      <c r="B810" t="s">
        <v>132</v>
      </c>
      <c r="C810">
        <v>841</v>
      </c>
      <c r="D810" t="s">
        <v>160</v>
      </c>
      <c r="E810" s="6">
        <v>4.88</v>
      </c>
    </row>
    <row r="811" spans="1:5" ht="15" customHeight="1" x14ac:dyDescent="0.25">
      <c r="A811">
        <v>627</v>
      </c>
      <c r="B811" t="s">
        <v>132</v>
      </c>
      <c r="C811">
        <v>842</v>
      </c>
      <c r="D811" t="s">
        <v>161</v>
      </c>
      <c r="E811" s="6">
        <v>6.2</v>
      </c>
    </row>
    <row r="812" spans="1:5" ht="15" customHeight="1" x14ac:dyDescent="0.25">
      <c r="A812">
        <v>627</v>
      </c>
      <c r="B812" t="s">
        <v>132</v>
      </c>
      <c r="C812">
        <v>847</v>
      </c>
      <c r="D812" t="s">
        <v>162</v>
      </c>
      <c r="E812" s="6">
        <v>4.4000000000000004</v>
      </c>
    </row>
    <row r="813" spans="1:5" ht="15" customHeight="1" x14ac:dyDescent="0.25">
      <c r="A813">
        <v>627</v>
      </c>
      <c r="B813" t="s">
        <v>132</v>
      </c>
      <c r="C813">
        <v>877</v>
      </c>
      <c r="D813" t="s">
        <v>163</v>
      </c>
      <c r="E813" s="6">
        <v>25.55</v>
      </c>
    </row>
    <row r="814" spans="1:5" ht="15" customHeight="1" x14ac:dyDescent="0.25">
      <c r="A814">
        <v>627</v>
      </c>
      <c r="B814" t="s">
        <v>132</v>
      </c>
      <c r="C814">
        <v>898</v>
      </c>
      <c r="D814" t="s">
        <v>164</v>
      </c>
      <c r="E814" s="6">
        <v>8.86</v>
      </c>
    </row>
    <row r="815" spans="1:5" ht="15" customHeight="1" x14ac:dyDescent="0.25">
      <c r="A815">
        <v>627</v>
      </c>
      <c r="B815" t="s">
        <v>132</v>
      </c>
      <c r="C815">
        <v>899</v>
      </c>
      <c r="D815" t="s">
        <v>165</v>
      </c>
      <c r="E815" s="6">
        <v>4.76</v>
      </c>
    </row>
    <row r="816" spans="1:5" ht="15" customHeight="1" x14ac:dyDescent="0.25">
      <c r="A816">
        <v>627</v>
      </c>
      <c r="B816" t="s">
        <v>132</v>
      </c>
      <c r="C816">
        <v>1912</v>
      </c>
      <c r="D816" t="s">
        <v>166</v>
      </c>
      <c r="E816" s="6">
        <v>30.25</v>
      </c>
    </row>
    <row r="817" spans="1:5" ht="15" customHeight="1" x14ac:dyDescent="0.25">
      <c r="A817">
        <v>627</v>
      </c>
      <c r="B817" t="s">
        <v>132</v>
      </c>
      <c r="C817">
        <v>9999</v>
      </c>
      <c r="D817" t="s">
        <v>117</v>
      </c>
      <c r="E817" s="6">
        <v>4.9800000000000004</v>
      </c>
    </row>
    <row r="818" spans="1:5" ht="15" customHeight="1" x14ac:dyDescent="0.25">
      <c r="A818">
        <v>651</v>
      </c>
      <c r="B818" t="s">
        <v>133</v>
      </c>
      <c r="C818">
        <v>1</v>
      </c>
      <c r="D818" t="s">
        <v>117</v>
      </c>
      <c r="E818" s="6">
        <v>2.4900000000000002</v>
      </c>
    </row>
    <row r="819" spans="1:5" ht="15" customHeight="1" x14ac:dyDescent="0.25">
      <c r="A819">
        <v>651</v>
      </c>
      <c r="B819" t="s">
        <v>133</v>
      </c>
      <c r="C819">
        <v>3</v>
      </c>
      <c r="D819" t="s">
        <v>118</v>
      </c>
      <c r="E819" s="6">
        <v>60.92</v>
      </c>
    </row>
    <row r="820" spans="1:5" ht="15" customHeight="1" x14ac:dyDescent="0.25">
      <c r="A820">
        <v>651</v>
      </c>
      <c r="B820" t="s">
        <v>133</v>
      </c>
      <c r="C820">
        <v>5</v>
      </c>
      <c r="D820" t="s">
        <v>119</v>
      </c>
      <c r="E820" s="6">
        <v>108.33</v>
      </c>
    </row>
    <row r="821" spans="1:5" ht="15" customHeight="1" x14ac:dyDescent="0.25">
      <c r="A821">
        <v>651</v>
      </c>
      <c r="B821" t="s">
        <v>133</v>
      </c>
      <c r="C821">
        <v>11</v>
      </c>
      <c r="D821" t="s">
        <v>120</v>
      </c>
      <c r="E821" s="6">
        <v>87.4</v>
      </c>
    </row>
    <row r="822" spans="1:5" ht="15" customHeight="1" x14ac:dyDescent="0.25">
      <c r="A822">
        <v>651</v>
      </c>
      <c r="B822" t="s">
        <v>133</v>
      </c>
      <c r="C822">
        <v>12</v>
      </c>
      <c r="D822" t="s">
        <v>121</v>
      </c>
      <c r="E822" s="6">
        <v>56.6</v>
      </c>
    </row>
    <row r="823" spans="1:5" ht="15" customHeight="1" x14ac:dyDescent="0.25">
      <c r="A823">
        <v>651</v>
      </c>
      <c r="B823" t="s">
        <v>133</v>
      </c>
      <c r="C823">
        <v>29</v>
      </c>
      <c r="D823" t="s">
        <v>122</v>
      </c>
      <c r="E823" s="6">
        <v>118.76</v>
      </c>
    </row>
    <row r="824" spans="1:5" ht="15" customHeight="1" x14ac:dyDescent="0.25">
      <c r="A824">
        <v>651</v>
      </c>
      <c r="B824" t="s">
        <v>133</v>
      </c>
      <c r="C824">
        <v>70</v>
      </c>
      <c r="D824" t="s">
        <v>123</v>
      </c>
      <c r="E824" s="6">
        <v>82.22</v>
      </c>
    </row>
    <row r="825" spans="1:5" ht="15" customHeight="1" x14ac:dyDescent="0.25">
      <c r="A825">
        <v>651</v>
      </c>
      <c r="B825" t="s">
        <v>133</v>
      </c>
      <c r="C825">
        <v>71</v>
      </c>
      <c r="D825" t="s">
        <v>124</v>
      </c>
      <c r="E825" s="6">
        <v>124.65</v>
      </c>
    </row>
    <row r="826" spans="1:5" ht="15" customHeight="1" x14ac:dyDescent="0.25">
      <c r="A826">
        <v>651</v>
      </c>
      <c r="B826" t="s">
        <v>133</v>
      </c>
      <c r="C826">
        <v>384</v>
      </c>
      <c r="D826" t="s">
        <v>125</v>
      </c>
      <c r="E826" s="6">
        <v>1.62</v>
      </c>
    </row>
    <row r="827" spans="1:5" ht="15" customHeight="1" x14ac:dyDescent="0.25">
      <c r="A827">
        <v>651</v>
      </c>
      <c r="B827" t="s">
        <v>133</v>
      </c>
      <c r="C827">
        <v>429</v>
      </c>
      <c r="D827" t="s">
        <v>126</v>
      </c>
      <c r="E827" s="6">
        <v>68.58</v>
      </c>
    </row>
    <row r="828" spans="1:5" ht="15" customHeight="1" x14ac:dyDescent="0.25">
      <c r="A828">
        <v>651</v>
      </c>
      <c r="B828" t="s">
        <v>133</v>
      </c>
      <c r="C828">
        <v>486</v>
      </c>
      <c r="D828" t="s">
        <v>127</v>
      </c>
      <c r="E828" s="6">
        <v>68.69</v>
      </c>
    </row>
    <row r="829" spans="1:5" ht="15" customHeight="1" x14ac:dyDescent="0.25">
      <c r="A829">
        <v>651</v>
      </c>
      <c r="B829" t="s">
        <v>133</v>
      </c>
      <c r="C829">
        <v>546</v>
      </c>
      <c r="D829" t="s">
        <v>128</v>
      </c>
      <c r="E829" s="6">
        <v>74.959999999999994</v>
      </c>
    </row>
    <row r="830" spans="1:5" ht="15" customHeight="1" x14ac:dyDescent="0.25">
      <c r="A830">
        <v>651</v>
      </c>
      <c r="B830" t="s">
        <v>133</v>
      </c>
      <c r="C830">
        <v>599</v>
      </c>
      <c r="D830" t="s">
        <v>129</v>
      </c>
      <c r="E830" s="6">
        <v>7.64</v>
      </c>
    </row>
    <row r="831" spans="1:5" ht="15" customHeight="1" x14ac:dyDescent="0.25">
      <c r="A831">
        <v>651</v>
      </c>
      <c r="B831" t="s">
        <v>133</v>
      </c>
      <c r="C831">
        <v>620</v>
      </c>
      <c r="D831" t="s">
        <v>130</v>
      </c>
      <c r="E831" s="6">
        <v>39.090000000000003</v>
      </c>
    </row>
    <row r="832" spans="1:5" ht="15" customHeight="1" x14ac:dyDescent="0.25">
      <c r="A832">
        <v>651</v>
      </c>
      <c r="B832" t="s">
        <v>133</v>
      </c>
      <c r="C832">
        <v>626</v>
      </c>
      <c r="D832" t="s">
        <v>131</v>
      </c>
      <c r="E832" s="6">
        <v>5.52</v>
      </c>
    </row>
    <row r="833" spans="1:5" ht="15" customHeight="1" x14ac:dyDescent="0.25">
      <c r="A833">
        <v>651</v>
      </c>
      <c r="B833" t="s">
        <v>133</v>
      </c>
      <c r="C833">
        <v>627</v>
      </c>
      <c r="D833" t="s">
        <v>132</v>
      </c>
      <c r="E833" s="6">
        <v>3.46</v>
      </c>
    </row>
    <row r="834" spans="1:5" ht="15" customHeight="1" x14ac:dyDescent="0.25">
      <c r="A834">
        <v>651</v>
      </c>
      <c r="B834" t="s">
        <v>133</v>
      </c>
      <c r="C834">
        <v>651</v>
      </c>
      <c r="D834" t="s">
        <v>133</v>
      </c>
      <c r="E834" s="6">
        <v>0</v>
      </c>
    </row>
    <row r="835" spans="1:5" ht="15" customHeight="1" x14ac:dyDescent="0.25">
      <c r="A835">
        <v>651</v>
      </c>
      <c r="B835" t="s">
        <v>133</v>
      </c>
      <c r="C835">
        <v>668</v>
      </c>
      <c r="D835" t="s">
        <v>134</v>
      </c>
      <c r="E835" s="6">
        <v>5.73</v>
      </c>
    </row>
    <row r="836" spans="1:5" ht="15" customHeight="1" x14ac:dyDescent="0.25">
      <c r="A836">
        <v>651</v>
      </c>
      <c r="B836" t="s">
        <v>133</v>
      </c>
      <c r="C836">
        <v>681</v>
      </c>
      <c r="D836" t="s">
        <v>135</v>
      </c>
      <c r="E836" s="6">
        <v>2.4500000000000002</v>
      </c>
    </row>
    <row r="837" spans="1:5" ht="15" customHeight="1" x14ac:dyDescent="0.25">
      <c r="A837">
        <v>651</v>
      </c>
      <c r="B837" t="s">
        <v>133</v>
      </c>
      <c r="C837">
        <v>682</v>
      </c>
      <c r="D837" t="s">
        <v>136</v>
      </c>
      <c r="E837" s="6">
        <v>2.66</v>
      </c>
    </row>
    <row r="838" spans="1:5" ht="15" customHeight="1" x14ac:dyDescent="0.25">
      <c r="A838">
        <v>651</v>
      </c>
      <c r="B838" t="s">
        <v>133</v>
      </c>
      <c r="C838">
        <v>683</v>
      </c>
      <c r="D838" t="s">
        <v>137</v>
      </c>
      <c r="E838" s="6">
        <v>2.06</v>
      </c>
    </row>
    <row r="839" spans="1:5" ht="15" customHeight="1" x14ac:dyDescent="0.25">
      <c r="A839">
        <v>651</v>
      </c>
      <c r="B839" t="s">
        <v>133</v>
      </c>
      <c r="C839">
        <v>684</v>
      </c>
      <c r="D839" t="s">
        <v>138</v>
      </c>
      <c r="E839" s="6">
        <v>3.45</v>
      </c>
    </row>
    <row r="840" spans="1:5" ht="15" customHeight="1" x14ac:dyDescent="0.25">
      <c r="A840">
        <v>651</v>
      </c>
      <c r="B840" t="s">
        <v>133</v>
      </c>
      <c r="C840">
        <v>685</v>
      </c>
      <c r="D840" t="s">
        <v>139</v>
      </c>
      <c r="E840" s="6">
        <v>2.44</v>
      </c>
    </row>
    <row r="841" spans="1:5" ht="15" customHeight="1" x14ac:dyDescent="0.25">
      <c r="A841">
        <v>651</v>
      </c>
      <c r="B841" t="s">
        <v>133</v>
      </c>
      <c r="C841">
        <v>691</v>
      </c>
      <c r="D841" t="s">
        <v>140</v>
      </c>
      <c r="E841" s="6">
        <v>2.79</v>
      </c>
    </row>
    <row r="842" spans="1:5" ht="15" customHeight="1" x14ac:dyDescent="0.25">
      <c r="A842">
        <v>651</v>
      </c>
      <c r="B842" t="s">
        <v>133</v>
      </c>
      <c r="C842">
        <v>706</v>
      </c>
      <c r="D842" t="s">
        <v>141</v>
      </c>
      <c r="E842" s="6">
        <v>0.48</v>
      </c>
    </row>
    <row r="843" spans="1:5" ht="15" customHeight="1" x14ac:dyDescent="0.25">
      <c r="A843">
        <v>651</v>
      </c>
      <c r="B843" t="s">
        <v>133</v>
      </c>
      <c r="C843">
        <v>713</v>
      </c>
      <c r="D843" t="s">
        <v>142</v>
      </c>
      <c r="E843" s="6">
        <v>4.1900000000000004</v>
      </c>
    </row>
    <row r="844" spans="1:5" ht="15" customHeight="1" x14ac:dyDescent="0.25">
      <c r="A844">
        <v>651</v>
      </c>
      <c r="B844" t="s">
        <v>133</v>
      </c>
      <c r="C844">
        <v>718</v>
      </c>
      <c r="D844" t="s">
        <v>143</v>
      </c>
      <c r="E844" s="6">
        <v>2.85</v>
      </c>
    </row>
    <row r="845" spans="1:5" ht="15" customHeight="1" x14ac:dyDescent="0.25">
      <c r="A845">
        <v>651</v>
      </c>
      <c r="B845" t="s">
        <v>133</v>
      </c>
      <c r="C845">
        <v>731</v>
      </c>
      <c r="D845" t="s">
        <v>144</v>
      </c>
      <c r="E845" s="6">
        <v>32.79</v>
      </c>
    </row>
    <row r="846" spans="1:5" ht="15" customHeight="1" x14ac:dyDescent="0.25">
      <c r="A846">
        <v>651</v>
      </c>
      <c r="B846" t="s">
        <v>133</v>
      </c>
      <c r="C846">
        <v>743</v>
      </c>
      <c r="D846" t="s">
        <v>145</v>
      </c>
      <c r="E846" s="6">
        <v>15.08</v>
      </c>
    </row>
    <row r="847" spans="1:5" ht="15" customHeight="1" x14ac:dyDescent="0.25">
      <c r="A847">
        <v>651</v>
      </c>
      <c r="B847" t="s">
        <v>133</v>
      </c>
      <c r="C847">
        <v>760</v>
      </c>
      <c r="D847" t="s">
        <v>146</v>
      </c>
      <c r="E847" s="6">
        <v>2.76</v>
      </c>
    </row>
    <row r="848" spans="1:5" ht="15" customHeight="1" x14ac:dyDescent="0.25">
      <c r="A848">
        <v>651</v>
      </c>
      <c r="B848" t="s">
        <v>133</v>
      </c>
      <c r="C848">
        <v>765</v>
      </c>
      <c r="D848" t="s">
        <v>147</v>
      </c>
      <c r="E848" s="6">
        <v>6.49</v>
      </c>
    </row>
    <row r="849" spans="1:5" ht="15" customHeight="1" x14ac:dyDescent="0.25">
      <c r="A849">
        <v>651</v>
      </c>
      <c r="B849" t="s">
        <v>133</v>
      </c>
      <c r="C849">
        <v>766</v>
      </c>
      <c r="D849" t="s">
        <v>148</v>
      </c>
      <c r="E849" s="6">
        <v>2.2400000000000002</v>
      </c>
    </row>
    <row r="850" spans="1:5" ht="15" customHeight="1" x14ac:dyDescent="0.25">
      <c r="A850">
        <v>651</v>
      </c>
      <c r="B850" t="s">
        <v>133</v>
      </c>
      <c r="C850">
        <v>767</v>
      </c>
      <c r="D850" t="s">
        <v>149</v>
      </c>
      <c r="E850" s="6">
        <v>3.91</v>
      </c>
    </row>
    <row r="851" spans="1:5" ht="15" customHeight="1" x14ac:dyDescent="0.25">
      <c r="A851">
        <v>651</v>
      </c>
      <c r="B851" t="s">
        <v>133</v>
      </c>
      <c r="C851">
        <v>795</v>
      </c>
      <c r="D851" t="s">
        <v>150</v>
      </c>
      <c r="E851" s="6">
        <v>2.63</v>
      </c>
    </row>
    <row r="852" spans="1:5" ht="15" customHeight="1" x14ac:dyDescent="0.25">
      <c r="A852">
        <v>651</v>
      </c>
      <c r="B852" t="s">
        <v>133</v>
      </c>
      <c r="C852">
        <v>798</v>
      </c>
      <c r="D852" t="s">
        <v>151</v>
      </c>
      <c r="E852" s="6">
        <v>4.32</v>
      </c>
    </row>
    <row r="853" spans="1:5" ht="15" customHeight="1" x14ac:dyDescent="0.25">
      <c r="A853">
        <v>651</v>
      </c>
      <c r="B853" t="s">
        <v>133</v>
      </c>
      <c r="C853">
        <v>799</v>
      </c>
      <c r="D853" t="s">
        <v>152</v>
      </c>
      <c r="E853" s="6">
        <v>5.46</v>
      </c>
    </row>
    <row r="854" spans="1:5" ht="15" customHeight="1" x14ac:dyDescent="0.25">
      <c r="A854">
        <v>651</v>
      </c>
      <c r="B854" t="s">
        <v>133</v>
      </c>
      <c r="C854">
        <v>811</v>
      </c>
      <c r="D854" t="s">
        <v>153</v>
      </c>
      <c r="E854" s="6">
        <v>6.42</v>
      </c>
    </row>
    <row r="855" spans="1:5" ht="15" customHeight="1" x14ac:dyDescent="0.25">
      <c r="A855">
        <v>651</v>
      </c>
      <c r="B855" t="s">
        <v>133</v>
      </c>
      <c r="C855">
        <v>820</v>
      </c>
      <c r="D855" t="s">
        <v>154</v>
      </c>
      <c r="E855" s="6">
        <v>3.59</v>
      </c>
    </row>
    <row r="856" spans="1:5" ht="15" customHeight="1" x14ac:dyDescent="0.25">
      <c r="A856">
        <v>651</v>
      </c>
      <c r="B856" t="s">
        <v>133</v>
      </c>
      <c r="C856">
        <v>830</v>
      </c>
      <c r="D856" t="s">
        <v>155</v>
      </c>
      <c r="E856" s="6">
        <v>3.56</v>
      </c>
    </row>
    <row r="857" spans="1:5" ht="15" customHeight="1" x14ac:dyDescent="0.25">
      <c r="A857">
        <v>651</v>
      </c>
      <c r="B857" t="s">
        <v>133</v>
      </c>
      <c r="C857">
        <v>831</v>
      </c>
      <c r="D857" t="s">
        <v>156</v>
      </c>
      <c r="E857" s="6">
        <v>9.9</v>
      </c>
    </row>
    <row r="858" spans="1:5" ht="15" customHeight="1" x14ac:dyDescent="0.25">
      <c r="A858">
        <v>651</v>
      </c>
      <c r="B858" t="s">
        <v>133</v>
      </c>
      <c r="C858">
        <v>832</v>
      </c>
      <c r="D858" t="s">
        <v>157</v>
      </c>
      <c r="E858" s="6">
        <v>3.96</v>
      </c>
    </row>
    <row r="859" spans="1:5" ht="15" customHeight="1" x14ac:dyDescent="0.25">
      <c r="A859">
        <v>651</v>
      </c>
      <c r="B859" t="s">
        <v>133</v>
      </c>
      <c r="C859">
        <v>833</v>
      </c>
      <c r="D859" t="s">
        <v>158</v>
      </c>
      <c r="E859" s="6">
        <v>3.69</v>
      </c>
    </row>
    <row r="860" spans="1:5" ht="15" customHeight="1" x14ac:dyDescent="0.25">
      <c r="A860">
        <v>651</v>
      </c>
      <c r="B860" t="s">
        <v>133</v>
      </c>
      <c r="C860">
        <v>840</v>
      </c>
      <c r="D860" t="s">
        <v>159</v>
      </c>
      <c r="E860" s="6">
        <v>6.12</v>
      </c>
    </row>
    <row r="861" spans="1:5" ht="15" customHeight="1" x14ac:dyDescent="0.25">
      <c r="A861">
        <v>651</v>
      </c>
      <c r="B861" t="s">
        <v>133</v>
      </c>
      <c r="C861">
        <v>841</v>
      </c>
      <c r="D861" t="s">
        <v>160</v>
      </c>
      <c r="E861" s="6">
        <v>1.45</v>
      </c>
    </row>
    <row r="862" spans="1:5" ht="15" customHeight="1" x14ac:dyDescent="0.25">
      <c r="A862">
        <v>651</v>
      </c>
      <c r="B862" t="s">
        <v>133</v>
      </c>
      <c r="C862">
        <v>842</v>
      </c>
      <c r="D862" t="s">
        <v>161</v>
      </c>
      <c r="E862" s="6">
        <v>5.45</v>
      </c>
    </row>
    <row r="863" spans="1:5" ht="15" customHeight="1" x14ac:dyDescent="0.25">
      <c r="A863">
        <v>651</v>
      </c>
      <c r="B863" t="s">
        <v>133</v>
      </c>
      <c r="C863">
        <v>847</v>
      </c>
      <c r="D863" t="s">
        <v>162</v>
      </c>
      <c r="E863" s="6">
        <v>0.96</v>
      </c>
    </row>
    <row r="864" spans="1:5" ht="15" customHeight="1" x14ac:dyDescent="0.25">
      <c r="A864">
        <v>651</v>
      </c>
      <c r="B864" t="s">
        <v>133</v>
      </c>
      <c r="C864">
        <v>877</v>
      </c>
      <c r="D864" t="s">
        <v>163</v>
      </c>
      <c r="E864" s="6">
        <v>23.31</v>
      </c>
    </row>
    <row r="865" spans="1:5" ht="15" customHeight="1" x14ac:dyDescent="0.25">
      <c r="A865">
        <v>651</v>
      </c>
      <c r="B865" t="s">
        <v>133</v>
      </c>
      <c r="C865">
        <v>898</v>
      </c>
      <c r="D865" t="s">
        <v>164</v>
      </c>
      <c r="E865" s="6">
        <v>6.54</v>
      </c>
    </row>
    <row r="866" spans="1:5" ht="15" customHeight="1" x14ac:dyDescent="0.25">
      <c r="A866">
        <v>651</v>
      </c>
      <c r="B866" t="s">
        <v>133</v>
      </c>
      <c r="C866">
        <v>899</v>
      </c>
      <c r="D866" t="s">
        <v>165</v>
      </c>
      <c r="E866" s="6">
        <v>5.3</v>
      </c>
    </row>
    <row r="867" spans="1:5" ht="15" customHeight="1" x14ac:dyDescent="0.25">
      <c r="A867">
        <v>651</v>
      </c>
      <c r="B867" t="s">
        <v>133</v>
      </c>
      <c r="C867">
        <v>1912</v>
      </c>
      <c r="D867" t="s">
        <v>166</v>
      </c>
      <c r="E867" s="6">
        <v>28.37</v>
      </c>
    </row>
    <row r="868" spans="1:5" ht="15" customHeight="1" x14ac:dyDescent="0.25">
      <c r="A868">
        <v>651</v>
      </c>
      <c r="B868" t="s">
        <v>133</v>
      </c>
      <c r="C868">
        <v>9999</v>
      </c>
      <c r="D868" t="s">
        <v>117</v>
      </c>
      <c r="E868" s="6">
        <v>2.4900000000000002</v>
      </c>
    </row>
    <row r="869" spans="1:5" ht="15" customHeight="1" x14ac:dyDescent="0.25">
      <c r="A869">
        <v>668</v>
      </c>
      <c r="B869" t="s">
        <v>134</v>
      </c>
      <c r="C869">
        <v>1</v>
      </c>
      <c r="D869" t="s">
        <v>117</v>
      </c>
      <c r="E869" s="6">
        <v>3.24</v>
      </c>
    </row>
    <row r="870" spans="1:5" ht="15" customHeight="1" x14ac:dyDescent="0.25">
      <c r="A870">
        <v>668</v>
      </c>
      <c r="B870" t="s">
        <v>134</v>
      </c>
      <c r="C870">
        <v>3</v>
      </c>
      <c r="D870" t="s">
        <v>118</v>
      </c>
      <c r="E870" s="6">
        <v>55.3</v>
      </c>
    </row>
    <row r="871" spans="1:5" ht="15" customHeight="1" x14ac:dyDescent="0.25">
      <c r="A871">
        <v>668</v>
      </c>
      <c r="B871" t="s">
        <v>134</v>
      </c>
      <c r="C871">
        <v>5</v>
      </c>
      <c r="D871" t="s">
        <v>119</v>
      </c>
      <c r="E871" s="6">
        <v>102.64</v>
      </c>
    </row>
    <row r="872" spans="1:5" ht="15" customHeight="1" x14ac:dyDescent="0.25">
      <c r="A872">
        <v>668</v>
      </c>
      <c r="B872" t="s">
        <v>134</v>
      </c>
      <c r="C872">
        <v>11</v>
      </c>
      <c r="D872" t="s">
        <v>120</v>
      </c>
      <c r="E872" s="6">
        <v>83.08</v>
      </c>
    </row>
    <row r="873" spans="1:5" ht="15" customHeight="1" x14ac:dyDescent="0.25">
      <c r="A873">
        <v>668</v>
      </c>
      <c r="B873" t="s">
        <v>134</v>
      </c>
      <c r="C873">
        <v>12</v>
      </c>
      <c r="D873" t="s">
        <v>121</v>
      </c>
      <c r="E873" s="6">
        <v>52.71</v>
      </c>
    </row>
    <row r="874" spans="1:5" ht="15" customHeight="1" x14ac:dyDescent="0.25">
      <c r="A874">
        <v>668</v>
      </c>
      <c r="B874" t="s">
        <v>134</v>
      </c>
      <c r="C874">
        <v>29</v>
      </c>
      <c r="D874" t="s">
        <v>122</v>
      </c>
      <c r="E874" s="6">
        <v>123.61</v>
      </c>
    </row>
    <row r="875" spans="1:5" ht="15" customHeight="1" x14ac:dyDescent="0.25">
      <c r="A875">
        <v>668</v>
      </c>
      <c r="B875" t="s">
        <v>134</v>
      </c>
      <c r="C875">
        <v>70</v>
      </c>
      <c r="D875" t="s">
        <v>123</v>
      </c>
      <c r="E875" s="6">
        <v>80.790000000000006</v>
      </c>
    </row>
    <row r="876" spans="1:5" ht="15" customHeight="1" x14ac:dyDescent="0.25">
      <c r="A876">
        <v>668</v>
      </c>
      <c r="B876" t="s">
        <v>134</v>
      </c>
      <c r="C876">
        <v>71</v>
      </c>
      <c r="D876" t="s">
        <v>124</v>
      </c>
      <c r="E876" s="6">
        <v>127.13</v>
      </c>
    </row>
    <row r="877" spans="1:5" ht="15" customHeight="1" x14ac:dyDescent="0.25">
      <c r="A877">
        <v>668</v>
      </c>
      <c r="B877" t="s">
        <v>134</v>
      </c>
      <c r="C877">
        <v>384</v>
      </c>
      <c r="D877" t="s">
        <v>125</v>
      </c>
      <c r="E877" s="6">
        <v>4.1100000000000003</v>
      </c>
    </row>
    <row r="878" spans="1:5" ht="15" customHeight="1" x14ac:dyDescent="0.25">
      <c r="A878">
        <v>668</v>
      </c>
      <c r="B878" t="s">
        <v>134</v>
      </c>
      <c r="C878">
        <v>429</v>
      </c>
      <c r="D878" t="s">
        <v>126</v>
      </c>
      <c r="E878" s="6">
        <v>71.06</v>
      </c>
    </row>
    <row r="879" spans="1:5" ht="15" customHeight="1" x14ac:dyDescent="0.25">
      <c r="A879">
        <v>668</v>
      </c>
      <c r="B879" t="s">
        <v>134</v>
      </c>
      <c r="C879">
        <v>486</v>
      </c>
      <c r="D879" t="s">
        <v>127</v>
      </c>
      <c r="E879" s="6">
        <v>63.9</v>
      </c>
    </row>
    <row r="880" spans="1:5" ht="15" customHeight="1" x14ac:dyDescent="0.25">
      <c r="A880">
        <v>668</v>
      </c>
      <c r="B880" t="s">
        <v>134</v>
      </c>
      <c r="C880">
        <v>546</v>
      </c>
      <c r="D880" t="s">
        <v>128</v>
      </c>
      <c r="E880" s="6">
        <v>69.239999999999995</v>
      </c>
    </row>
    <row r="881" spans="1:5" ht="15" customHeight="1" x14ac:dyDescent="0.25">
      <c r="A881">
        <v>668</v>
      </c>
      <c r="B881" t="s">
        <v>134</v>
      </c>
      <c r="C881">
        <v>599</v>
      </c>
      <c r="D881" t="s">
        <v>129</v>
      </c>
      <c r="E881" s="6">
        <v>2.08</v>
      </c>
    </row>
    <row r="882" spans="1:5" ht="15" customHeight="1" x14ac:dyDescent="0.25">
      <c r="A882">
        <v>668</v>
      </c>
      <c r="B882" t="s">
        <v>134</v>
      </c>
      <c r="C882">
        <v>620</v>
      </c>
      <c r="D882" t="s">
        <v>130</v>
      </c>
      <c r="E882" s="6">
        <v>44.61</v>
      </c>
    </row>
    <row r="883" spans="1:5" ht="15" customHeight="1" x14ac:dyDescent="0.25">
      <c r="A883">
        <v>668</v>
      </c>
      <c r="B883" t="s">
        <v>134</v>
      </c>
      <c r="C883">
        <v>626</v>
      </c>
      <c r="D883" t="s">
        <v>131</v>
      </c>
      <c r="E883" s="6">
        <v>2.57</v>
      </c>
    </row>
    <row r="884" spans="1:5" ht="15" customHeight="1" x14ac:dyDescent="0.25">
      <c r="A884">
        <v>668</v>
      </c>
      <c r="B884" t="s">
        <v>134</v>
      </c>
      <c r="C884">
        <v>627</v>
      </c>
      <c r="D884" t="s">
        <v>132</v>
      </c>
      <c r="E884" s="6">
        <v>7.77</v>
      </c>
    </row>
    <row r="885" spans="1:5" ht="15" customHeight="1" x14ac:dyDescent="0.25">
      <c r="A885">
        <v>668</v>
      </c>
      <c r="B885" t="s">
        <v>134</v>
      </c>
      <c r="C885">
        <v>651</v>
      </c>
      <c r="D885" t="s">
        <v>133</v>
      </c>
      <c r="E885" s="6">
        <v>5.73</v>
      </c>
    </row>
    <row r="886" spans="1:5" ht="15" customHeight="1" x14ac:dyDescent="0.25">
      <c r="A886">
        <v>668</v>
      </c>
      <c r="B886" t="s">
        <v>134</v>
      </c>
      <c r="C886">
        <v>668</v>
      </c>
      <c r="D886" t="s">
        <v>134</v>
      </c>
      <c r="E886" s="6">
        <v>0</v>
      </c>
    </row>
    <row r="887" spans="1:5" ht="15" customHeight="1" x14ac:dyDescent="0.25">
      <c r="A887">
        <v>668</v>
      </c>
      <c r="B887" t="s">
        <v>134</v>
      </c>
      <c r="C887">
        <v>681</v>
      </c>
      <c r="D887" t="s">
        <v>135</v>
      </c>
      <c r="E887" s="6">
        <v>5.9</v>
      </c>
    </row>
    <row r="888" spans="1:5" ht="15" customHeight="1" x14ac:dyDescent="0.25">
      <c r="A888">
        <v>668</v>
      </c>
      <c r="B888" t="s">
        <v>134</v>
      </c>
      <c r="C888">
        <v>682</v>
      </c>
      <c r="D888" t="s">
        <v>136</v>
      </c>
      <c r="E888" s="6">
        <v>3.24</v>
      </c>
    </row>
    <row r="889" spans="1:5" ht="15" customHeight="1" x14ac:dyDescent="0.25">
      <c r="A889">
        <v>668</v>
      </c>
      <c r="B889" t="s">
        <v>134</v>
      </c>
      <c r="C889">
        <v>683</v>
      </c>
      <c r="D889" t="s">
        <v>137</v>
      </c>
      <c r="E889" s="6">
        <v>3.7</v>
      </c>
    </row>
    <row r="890" spans="1:5" ht="15" customHeight="1" x14ac:dyDescent="0.25">
      <c r="A890">
        <v>668</v>
      </c>
      <c r="B890" t="s">
        <v>134</v>
      </c>
      <c r="C890">
        <v>684</v>
      </c>
      <c r="D890" t="s">
        <v>138</v>
      </c>
      <c r="E890" s="6">
        <v>2.67</v>
      </c>
    </row>
    <row r="891" spans="1:5" ht="15" customHeight="1" x14ac:dyDescent="0.25">
      <c r="A891">
        <v>668</v>
      </c>
      <c r="B891" t="s">
        <v>134</v>
      </c>
      <c r="C891">
        <v>685</v>
      </c>
      <c r="D891" t="s">
        <v>139</v>
      </c>
      <c r="E891" s="6">
        <v>4.28</v>
      </c>
    </row>
    <row r="892" spans="1:5" ht="15" customHeight="1" x14ac:dyDescent="0.25">
      <c r="A892">
        <v>668</v>
      </c>
      <c r="B892" t="s">
        <v>134</v>
      </c>
      <c r="C892">
        <v>691</v>
      </c>
      <c r="D892" t="s">
        <v>140</v>
      </c>
      <c r="E892" s="6">
        <v>5.63</v>
      </c>
    </row>
    <row r="893" spans="1:5" ht="15" customHeight="1" x14ac:dyDescent="0.25">
      <c r="A893">
        <v>668</v>
      </c>
      <c r="B893" t="s">
        <v>134</v>
      </c>
      <c r="C893">
        <v>706</v>
      </c>
      <c r="D893" t="s">
        <v>141</v>
      </c>
      <c r="E893" s="6">
        <v>5.27</v>
      </c>
    </row>
    <row r="894" spans="1:5" ht="15" customHeight="1" x14ac:dyDescent="0.25">
      <c r="A894">
        <v>668</v>
      </c>
      <c r="B894" t="s">
        <v>134</v>
      </c>
      <c r="C894">
        <v>713</v>
      </c>
      <c r="D894" t="s">
        <v>142</v>
      </c>
      <c r="E894" s="6">
        <v>1.62</v>
      </c>
    </row>
    <row r="895" spans="1:5" ht="15" customHeight="1" x14ac:dyDescent="0.25">
      <c r="A895">
        <v>668</v>
      </c>
      <c r="B895" t="s">
        <v>134</v>
      </c>
      <c r="C895">
        <v>718</v>
      </c>
      <c r="D895" t="s">
        <v>143</v>
      </c>
      <c r="E895" s="6">
        <v>5.42</v>
      </c>
    </row>
    <row r="896" spans="1:5" ht="15" customHeight="1" x14ac:dyDescent="0.25">
      <c r="A896">
        <v>668</v>
      </c>
      <c r="B896" t="s">
        <v>134</v>
      </c>
      <c r="C896">
        <v>731</v>
      </c>
      <c r="D896" t="s">
        <v>144</v>
      </c>
      <c r="E896" s="6">
        <v>27.23</v>
      </c>
    </row>
    <row r="897" spans="1:5" ht="15" customHeight="1" x14ac:dyDescent="0.25">
      <c r="A897">
        <v>668</v>
      </c>
      <c r="B897" t="s">
        <v>134</v>
      </c>
      <c r="C897">
        <v>743</v>
      </c>
      <c r="D897" t="s">
        <v>145</v>
      </c>
      <c r="E897" s="6">
        <v>14.95</v>
      </c>
    </row>
    <row r="898" spans="1:5" ht="15" customHeight="1" x14ac:dyDescent="0.25">
      <c r="A898">
        <v>668</v>
      </c>
      <c r="B898" t="s">
        <v>134</v>
      </c>
      <c r="C898">
        <v>760</v>
      </c>
      <c r="D898" t="s">
        <v>146</v>
      </c>
      <c r="E898" s="6">
        <v>4.7300000000000004</v>
      </c>
    </row>
    <row r="899" spans="1:5" ht="15" customHeight="1" x14ac:dyDescent="0.25">
      <c r="A899">
        <v>668</v>
      </c>
      <c r="B899" t="s">
        <v>134</v>
      </c>
      <c r="C899">
        <v>765</v>
      </c>
      <c r="D899" t="s">
        <v>147</v>
      </c>
      <c r="E899" s="6">
        <v>2.8</v>
      </c>
    </row>
    <row r="900" spans="1:5" ht="15" customHeight="1" x14ac:dyDescent="0.25">
      <c r="A900">
        <v>668</v>
      </c>
      <c r="B900" t="s">
        <v>134</v>
      </c>
      <c r="C900">
        <v>766</v>
      </c>
      <c r="D900" t="s">
        <v>148</v>
      </c>
      <c r="E900" s="6">
        <v>4.41</v>
      </c>
    </row>
    <row r="901" spans="1:5" ht="15" customHeight="1" x14ac:dyDescent="0.25">
      <c r="A901">
        <v>668</v>
      </c>
      <c r="B901" t="s">
        <v>134</v>
      </c>
      <c r="C901">
        <v>767</v>
      </c>
      <c r="D901" t="s">
        <v>149</v>
      </c>
      <c r="E901" s="6">
        <v>9.48</v>
      </c>
    </row>
    <row r="902" spans="1:5" ht="15" customHeight="1" x14ac:dyDescent="0.25">
      <c r="A902">
        <v>668</v>
      </c>
      <c r="B902" t="s">
        <v>134</v>
      </c>
      <c r="C902">
        <v>795</v>
      </c>
      <c r="D902" t="s">
        <v>150</v>
      </c>
      <c r="E902" s="6">
        <v>3.7</v>
      </c>
    </row>
    <row r="903" spans="1:5" ht="15" customHeight="1" x14ac:dyDescent="0.25">
      <c r="A903">
        <v>668</v>
      </c>
      <c r="B903" t="s">
        <v>134</v>
      </c>
      <c r="C903">
        <v>798</v>
      </c>
      <c r="D903" t="s">
        <v>151</v>
      </c>
      <c r="E903" s="6">
        <v>6.43</v>
      </c>
    </row>
    <row r="904" spans="1:5" ht="15" customHeight="1" x14ac:dyDescent="0.25">
      <c r="A904">
        <v>668</v>
      </c>
      <c r="B904" t="s">
        <v>134</v>
      </c>
      <c r="C904">
        <v>799</v>
      </c>
      <c r="D904" t="s">
        <v>152</v>
      </c>
      <c r="E904" s="6">
        <v>1.69</v>
      </c>
    </row>
    <row r="905" spans="1:5" ht="15" customHeight="1" x14ac:dyDescent="0.25">
      <c r="A905">
        <v>668</v>
      </c>
      <c r="B905" t="s">
        <v>134</v>
      </c>
      <c r="C905">
        <v>811</v>
      </c>
      <c r="D905" t="s">
        <v>153</v>
      </c>
      <c r="E905" s="6">
        <v>6.44</v>
      </c>
    </row>
    <row r="906" spans="1:5" ht="15" customHeight="1" x14ac:dyDescent="0.25">
      <c r="A906">
        <v>668</v>
      </c>
      <c r="B906" t="s">
        <v>134</v>
      </c>
      <c r="C906">
        <v>820</v>
      </c>
      <c r="D906" t="s">
        <v>154</v>
      </c>
      <c r="E906" s="6">
        <v>5.23</v>
      </c>
    </row>
    <row r="907" spans="1:5" ht="15" customHeight="1" x14ac:dyDescent="0.25">
      <c r="A907">
        <v>668</v>
      </c>
      <c r="B907" t="s">
        <v>134</v>
      </c>
      <c r="C907">
        <v>830</v>
      </c>
      <c r="D907" t="s">
        <v>155</v>
      </c>
      <c r="E907" s="6">
        <v>5.72</v>
      </c>
    </row>
    <row r="908" spans="1:5" ht="15" customHeight="1" x14ac:dyDescent="0.25">
      <c r="A908">
        <v>668</v>
      </c>
      <c r="B908" t="s">
        <v>134</v>
      </c>
      <c r="C908">
        <v>831</v>
      </c>
      <c r="D908" t="s">
        <v>156</v>
      </c>
      <c r="E908" s="6">
        <v>4.18</v>
      </c>
    </row>
    <row r="909" spans="1:5" ht="15" customHeight="1" x14ac:dyDescent="0.25">
      <c r="A909">
        <v>668</v>
      </c>
      <c r="B909" t="s">
        <v>134</v>
      </c>
      <c r="C909">
        <v>832</v>
      </c>
      <c r="D909" t="s">
        <v>157</v>
      </c>
      <c r="E909" s="6">
        <v>5.18</v>
      </c>
    </row>
    <row r="910" spans="1:5" ht="15" customHeight="1" x14ac:dyDescent="0.25">
      <c r="A910">
        <v>668</v>
      </c>
      <c r="B910" t="s">
        <v>134</v>
      </c>
      <c r="C910">
        <v>833</v>
      </c>
      <c r="D910" t="s">
        <v>158</v>
      </c>
      <c r="E910" s="6">
        <v>3.14</v>
      </c>
    </row>
    <row r="911" spans="1:5" ht="15" customHeight="1" x14ac:dyDescent="0.25">
      <c r="A911">
        <v>668</v>
      </c>
      <c r="B911" t="s">
        <v>134</v>
      </c>
      <c r="C911">
        <v>840</v>
      </c>
      <c r="D911" t="s">
        <v>159</v>
      </c>
      <c r="E911" s="6">
        <v>6.58</v>
      </c>
    </row>
    <row r="912" spans="1:5" ht="15" customHeight="1" x14ac:dyDescent="0.25">
      <c r="A912">
        <v>668</v>
      </c>
      <c r="B912" t="s">
        <v>134</v>
      </c>
      <c r="C912">
        <v>841</v>
      </c>
      <c r="D912" t="s">
        <v>160</v>
      </c>
      <c r="E912" s="6">
        <v>4.95</v>
      </c>
    </row>
    <row r="913" spans="1:5" ht="15" customHeight="1" x14ac:dyDescent="0.25">
      <c r="A913">
        <v>668</v>
      </c>
      <c r="B913" t="s">
        <v>134</v>
      </c>
      <c r="C913">
        <v>842</v>
      </c>
      <c r="D913" t="s">
        <v>161</v>
      </c>
      <c r="E913" s="6">
        <v>2.73</v>
      </c>
    </row>
    <row r="914" spans="1:5" ht="15" customHeight="1" x14ac:dyDescent="0.25">
      <c r="A914">
        <v>668</v>
      </c>
      <c r="B914" t="s">
        <v>134</v>
      </c>
      <c r="C914">
        <v>847</v>
      </c>
      <c r="D914" t="s">
        <v>162</v>
      </c>
      <c r="E914" s="6">
        <v>5.26</v>
      </c>
    </row>
    <row r="915" spans="1:5" ht="15" customHeight="1" x14ac:dyDescent="0.25">
      <c r="A915">
        <v>668</v>
      </c>
      <c r="B915" t="s">
        <v>134</v>
      </c>
      <c r="C915">
        <v>877</v>
      </c>
      <c r="D915" t="s">
        <v>163</v>
      </c>
      <c r="E915" s="6">
        <v>17.8</v>
      </c>
    </row>
    <row r="916" spans="1:5" ht="15" customHeight="1" x14ac:dyDescent="0.25">
      <c r="A916">
        <v>668</v>
      </c>
      <c r="B916" t="s">
        <v>134</v>
      </c>
      <c r="C916">
        <v>898</v>
      </c>
      <c r="D916" t="s">
        <v>164</v>
      </c>
      <c r="E916" s="6">
        <v>1.2</v>
      </c>
    </row>
    <row r="917" spans="1:5" ht="15" customHeight="1" x14ac:dyDescent="0.25">
      <c r="A917">
        <v>668</v>
      </c>
      <c r="B917" t="s">
        <v>134</v>
      </c>
      <c r="C917">
        <v>899</v>
      </c>
      <c r="D917" t="s">
        <v>165</v>
      </c>
      <c r="E917" s="6">
        <v>4.8099999999999996</v>
      </c>
    </row>
    <row r="918" spans="1:5" ht="15" customHeight="1" x14ac:dyDescent="0.25">
      <c r="A918">
        <v>668</v>
      </c>
      <c r="B918" t="s">
        <v>134</v>
      </c>
      <c r="C918">
        <v>1912</v>
      </c>
      <c r="D918" t="s">
        <v>166</v>
      </c>
      <c r="E918" s="6">
        <v>22.69</v>
      </c>
    </row>
    <row r="919" spans="1:5" ht="15" customHeight="1" x14ac:dyDescent="0.25">
      <c r="A919">
        <v>668</v>
      </c>
      <c r="B919" t="s">
        <v>134</v>
      </c>
      <c r="C919">
        <v>9999</v>
      </c>
      <c r="D919" t="s">
        <v>117</v>
      </c>
      <c r="E919" s="6">
        <v>3.24</v>
      </c>
    </row>
    <row r="920" spans="1:5" ht="15" customHeight="1" x14ac:dyDescent="0.25">
      <c r="A920">
        <v>681</v>
      </c>
      <c r="B920" t="s">
        <v>135</v>
      </c>
      <c r="C920">
        <v>1</v>
      </c>
      <c r="D920" t="s">
        <v>117</v>
      </c>
      <c r="E920" s="6">
        <v>3.26</v>
      </c>
    </row>
    <row r="921" spans="1:5" ht="15" customHeight="1" x14ac:dyDescent="0.25">
      <c r="A921">
        <v>681</v>
      </c>
      <c r="B921" t="s">
        <v>135</v>
      </c>
      <c r="C921">
        <v>3</v>
      </c>
      <c r="D921" t="s">
        <v>118</v>
      </c>
      <c r="E921" s="6">
        <v>60.18</v>
      </c>
    </row>
    <row r="922" spans="1:5" ht="15" customHeight="1" x14ac:dyDescent="0.25">
      <c r="A922">
        <v>681</v>
      </c>
      <c r="B922" t="s">
        <v>135</v>
      </c>
      <c r="C922">
        <v>5</v>
      </c>
      <c r="D922" t="s">
        <v>119</v>
      </c>
      <c r="E922" s="6">
        <v>107.76</v>
      </c>
    </row>
    <row r="923" spans="1:5" ht="15" customHeight="1" x14ac:dyDescent="0.25">
      <c r="A923">
        <v>681</v>
      </c>
      <c r="B923" t="s">
        <v>135</v>
      </c>
      <c r="C923">
        <v>11</v>
      </c>
      <c r="D923" t="s">
        <v>120</v>
      </c>
      <c r="E923" s="6">
        <v>85.59</v>
      </c>
    </row>
    <row r="924" spans="1:5" ht="15" customHeight="1" x14ac:dyDescent="0.25">
      <c r="A924">
        <v>681</v>
      </c>
      <c r="B924" t="s">
        <v>135</v>
      </c>
      <c r="C924">
        <v>12</v>
      </c>
      <c r="D924" t="s">
        <v>121</v>
      </c>
      <c r="E924" s="6">
        <v>58.1</v>
      </c>
    </row>
    <row r="925" spans="1:5" ht="15" customHeight="1" x14ac:dyDescent="0.25">
      <c r="A925">
        <v>681</v>
      </c>
      <c r="B925" t="s">
        <v>135</v>
      </c>
      <c r="C925">
        <v>29</v>
      </c>
      <c r="D925" t="s">
        <v>122</v>
      </c>
      <c r="E925" s="6">
        <v>117.75</v>
      </c>
    </row>
    <row r="926" spans="1:5" ht="15" customHeight="1" x14ac:dyDescent="0.25">
      <c r="A926">
        <v>681</v>
      </c>
      <c r="B926" t="s">
        <v>135</v>
      </c>
      <c r="C926">
        <v>70</v>
      </c>
      <c r="D926" t="s">
        <v>123</v>
      </c>
      <c r="E926" s="6">
        <v>84.46</v>
      </c>
    </row>
    <row r="927" spans="1:5" ht="15" customHeight="1" x14ac:dyDescent="0.25">
      <c r="A927">
        <v>681</v>
      </c>
      <c r="B927" t="s">
        <v>135</v>
      </c>
      <c r="C927">
        <v>71</v>
      </c>
      <c r="D927" t="s">
        <v>124</v>
      </c>
      <c r="E927" s="6">
        <v>127.01</v>
      </c>
    </row>
    <row r="928" spans="1:5" ht="15" customHeight="1" x14ac:dyDescent="0.25">
      <c r="A928">
        <v>681</v>
      </c>
      <c r="B928" t="s">
        <v>135</v>
      </c>
      <c r="C928">
        <v>384</v>
      </c>
      <c r="D928" t="s">
        <v>125</v>
      </c>
      <c r="E928" s="6">
        <v>2.7</v>
      </c>
    </row>
    <row r="929" spans="1:5" ht="15" customHeight="1" x14ac:dyDescent="0.25">
      <c r="A929">
        <v>681</v>
      </c>
      <c r="B929" t="s">
        <v>135</v>
      </c>
      <c r="C929">
        <v>429</v>
      </c>
      <c r="D929" t="s">
        <v>126</v>
      </c>
      <c r="E929" s="6">
        <v>70.95</v>
      </c>
    </row>
    <row r="930" spans="1:5" ht="15" customHeight="1" x14ac:dyDescent="0.25">
      <c r="A930">
        <v>681</v>
      </c>
      <c r="B930" t="s">
        <v>135</v>
      </c>
      <c r="C930">
        <v>486</v>
      </c>
      <c r="D930" t="s">
        <v>127</v>
      </c>
      <c r="E930" s="6">
        <v>69.72</v>
      </c>
    </row>
    <row r="931" spans="1:5" ht="15" customHeight="1" x14ac:dyDescent="0.25">
      <c r="A931">
        <v>681</v>
      </c>
      <c r="B931" t="s">
        <v>135</v>
      </c>
      <c r="C931">
        <v>546</v>
      </c>
      <c r="D931" t="s">
        <v>128</v>
      </c>
      <c r="E931" s="6">
        <v>74.760000000000005</v>
      </c>
    </row>
    <row r="932" spans="1:5" ht="15" customHeight="1" x14ac:dyDescent="0.25">
      <c r="A932">
        <v>681</v>
      </c>
      <c r="B932" t="s">
        <v>135</v>
      </c>
      <c r="C932">
        <v>599</v>
      </c>
      <c r="D932" t="s">
        <v>129</v>
      </c>
      <c r="E932" s="6">
        <v>7.99</v>
      </c>
    </row>
    <row r="933" spans="1:5" ht="15" customHeight="1" x14ac:dyDescent="0.25">
      <c r="A933">
        <v>681</v>
      </c>
      <c r="B933" t="s">
        <v>135</v>
      </c>
      <c r="C933">
        <v>620</v>
      </c>
      <c r="D933" t="s">
        <v>130</v>
      </c>
      <c r="E933" s="6">
        <v>40.19</v>
      </c>
    </row>
    <row r="934" spans="1:5" ht="15" customHeight="1" x14ac:dyDescent="0.25">
      <c r="A934">
        <v>681</v>
      </c>
      <c r="B934" t="s">
        <v>135</v>
      </c>
      <c r="C934">
        <v>626</v>
      </c>
      <c r="D934" t="s">
        <v>131</v>
      </c>
      <c r="E934" s="6">
        <v>4.5999999999999996</v>
      </c>
    </row>
    <row r="935" spans="1:5" ht="15" customHeight="1" x14ac:dyDescent="0.25">
      <c r="A935">
        <v>681</v>
      </c>
      <c r="B935" t="s">
        <v>135</v>
      </c>
      <c r="C935">
        <v>627</v>
      </c>
      <c r="D935" t="s">
        <v>132</v>
      </c>
      <c r="E935" s="6">
        <v>5.87</v>
      </c>
    </row>
    <row r="936" spans="1:5" ht="15" customHeight="1" x14ac:dyDescent="0.25">
      <c r="A936">
        <v>681</v>
      </c>
      <c r="B936" t="s">
        <v>135</v>
      </c>
      <c r="C936">
        <v>651</v>
      </c>
      <c r="D936" t="s">
        <v>133</v>
      </c>
      <c r="E936" s="6">
        <v>2.4500000000000002</v>
      </c>
    </row>
    <row r="937" spans="1:5" ht="15" customHeight="1" x14ac:dyDescent="0.25">
      <c r="A937">
        <v>681</v>
      </c>
      <c r="B937" t="s">
        <v>135</v>
      </c>
      <c r="C937">
        <v>668</v>
      </c>
      <c r="D937" t="s">
        <v>134</v>
      </c>
      <c r="E937" s="6">
        <v>5.9</v>
      </c>
    </row>
    <row r="938" spans="1:5" ht="15" customHeight="1" x14ac:dyDescent="0.25">
      <c r="A938">
        <v>681</v>
      </c>
      <c r="B938" t="s">
        <v>135</v>
      </c>
      <c r="C938">
        <v>681</v>
      </c>
      <c r="D938" t="s">
        <v>135</v>
      </c>
      <c r="E938" s="6">
        <v>0</v>
      </c>
    </row>
    <row r="939" spans="1:5" ht="15" customHeight="1" x14ac:dyDescent="0.25">
      <c r="A939">
        <v>681</v>
      </c>
      <c r="B939" t="s">
        <v>135</v>
      </c>
      <c r="C939">
        <v>682</v>
      </c>
      <c r="D939" t="s">
        <v>136</v>
      </c>
      <c r="E939" s="6">
        <v>3.84</v>
      </c>
    </row>
    <row r="940" spans="1:5" ht="15" customHeight="1" x14ac:dyDescent="0.25">
      <c r="A940">
        <v>681</v>
      </c>
      <c r="B940" t="s">
        <v>135</v>
      </c>
      <c r="C940">
        <v>683</v>
      </c>
      <c r="D940" t="s">
        <v>137</v>
      </c>
      <c r="E940" s="6">
        <v>3.21</v>
      </c>
    </row>
    <row r="941" spans="1:5" ht="15" customHeight="1" x14ac:dyDescent="0.25">
      <c r="A941">
        <v>681</v>
      </c>
      <c r="B941" t="s">
        <v>135</v>
      </c>
      <c r="C941">
        <v>684</v>
      </c>
      <c r="D941" t="s">
        <v>138</v>
      </c>
      <c r="E941" s="6">
        <v>3.24</v>
      </c>
    </row>
    <row r="942" spans="1:5" ht="15" customHeight="1" x14ac:dyDescent="0.25">
      <c r="A942">
        <v>681</v>
      </c>
      <c r="B942" t="s">
        <v>135</v>
      </c>
      <c r="C942">
        <v>685</v>
      </c>
      <c r="D942" t="s">
        <v>139</v>
      </c>
      <c r="E942" s="6">
        <v>1.63</v>
      </c>
    </row>
    <row r="943" spans="1:5" ht="15" customHeight="1" x14ac:dyDescent="0.25">
      <c r="A943">
        <v>681</v>
      </c>
      <c r="B943" t="s">
        <v>135</v>
      </c>
      <c r="C943">
        <v>691</v>
      </c>
      <c r="D943" t="s">
        <v>140</v>
      </c>
      <c r="E943" s="6">
        <v>0.5</v>
      </c>
    </row>
    <row r="944" spans="1:5" ht="15" customHeight="1" x14ac:dyDescent="0.25">
      <c r="A944">
        <v>681</v>
      </c>
      <c r="B944" t="s">
        <v>135</v>
      </c>
      <c r="C944">
        <v>706</v>
      </c>
      <c r="D944" t="s">
        <v>141</v>
      </c>
      <c r="E944" s="6">
        <v>2.58</v>
      </c>
    </row>
    <row r="945" spans="1:5" ht="15" customHeight="1" x14ac:dyDescent="0.25">
      <c r="A945">
        <v>681</v>
      </c>
      <c r="B945" t="s">
        <v>135</v>
      </c>
      <c r="C945">
        <v>713</v>
      </c>
      <c r="D945" t="s">
        <v>142</v>
      </c>
      <c r="E945" s="6">
        <v>4.7699999999999996</v>
      </c>
    </row>
    <row r="946" spans="1:5" ht="15" customHeight="1" x14ac:dyDescent="0.25">
      <c r="A946">
        <v>681</v>
      </c>
      <c r="B946" t="s">
        <v>135</v>
      </c>
      <c r="C946">
        <v>718</v>
      </c>
      <c r="D946" t="s">
        <v>143</v>
      </c>
      <c r="E946" s="6">
        <v>5.14</v>
      </c>
    </row>
    <row r="947" spans="1:5" ht="15" customHeight="1" x14ac:dyDescent="0.25">
      <c r="A947">
        <v>681</v>
      </c>
      <c r="B947" t="s">
        <v>135</v>
      </c>
      <c r="C947">
        <v>731</v>
      </c>
      <c r="D947" t="s">
        <v>144</v>
      </c>
      <c r="E947" s="6">
        <v>32.01</v>
      </c>
    </row>
    <row r="948" spans="1:5" ht="15" customHeight="1" x14ac:dyDescent="0.25">
      <c r="A948">
        <v>681</v>
      </c>
      <c r="B948" t="s">
        <v>135</v>
      </c>
      <c r="C948">
        <v>743</v>
      </c>
      <c r="D948" t="s">
        <v>145</v>
      </c>
      <c r="E948" s="6">
        <v>12.64</v>
      </c>
    </row>
    <row r="949" spans="1:5" ht="15" customHeight="1" x14ac:dyDescent="0.25">
      <c r="A949">
        <v>681</v>
      </c>
      <c r="B949" t="s">
        <v>135</v>
      </c>
      <c r="C949">
        <v>760</v>
      </c>
      <c r="D949" t="s">
        <v>146</v>
      </c>
      <c r="E949" s="6">
        <v>1.24</v>
      </c>
    </row>
    <row r="950" spans="1:5" ht="15" customHeight="1" x14ac:dyDescent="0.25">
      <c r="A950">
        <v>681</v>
      </c>
      <c r="B950" t="s">
        <v>135</v>
      </c>
      <c r="C950">
        <v>765</v>
      </c>
      <c r="D950" t="s">
        <v>147</v>
      </c>
      <c r="E950" s="6">
        <v>5.53</v>
      </c>
    </row>
    <row r="951" spans="1:5" ht="15" customHeight="1" x14ac:dyDescent="0.25">
      <c r="A951">
        <v>681</v>
      </c>
      <c r="B951" t="s">
        <v>135</v>
      </c>
      <c r="C951">
        <v>766</v>
      </c>
      <c r="D951" t="s">
        <v>148</v>
      </c>
      <c r="E951" s="6">
        <v>4.18</v>
      </c>
    </row>
    <row r="952" spans="1:5" ht="15" customHeight="1" x14ac:dyDescent="0.25">
      <c r="A952">
        <v>681</v>
      </c>
      <c r="B952" t="s">
        <v>135</v>
      </c>
      <c r="C952">
        <v>767</v>
      </c>
      <c r="D952" t="s">
        <v>149</v>
      </c>
      <c r="E952" s="6">
        <v>5.53</v>
      </c>
    </row>
    <row r="953" spans="1:5" ht="15" customHeight="1" x14ac:dyDescent="0.25">
      <c r="A953">
        <v>681</v>
      </c>
      <c r="B953" t="s">
        <v>135</v>
      </c>
      <c r="C953">
        <v>795</v>
      </c>
      <c r="D953" t="s">
        <v>150</v>
      </c>
      <c r="E953" s="6">
        <v>2.2200000000000002</v>
      </c>
    </row>
    <row r="954" spans="1:5" ht="15" customHeight="1" x14ac:dyDescent="0.25">
      <c r="A954">
        <v>681</v>
      </c>
      <c r="B954" t="s">
        <v>135</v>
      </c>
      <c r="C954">
        <v>798</v>
      </c>
      <c r="D954" t="s">
        <v>151</v>
      </c>
      <c r="E954" s="6">
        <v>1.87</v>
      </c>
    </row>
    <row r="955" spans="1:5" ht="15" customHeight="1" x14ac:dyDescent="0.25">
      <c r="A955">
        <v>681</v>
      </c>
      <c r="B955" t="s">
        <v>135</v>
      </c>
      <c r="C955">
        <v>799</v>
      </c>
      <c r="D955" t="s">
        <v>152</v>
      </c>
      <c r="E955" s="6">
        <v>4.9400000000000004</v>
      </c>
    </row>
    <row r="956" spans="1:5" ht="15" customHeight="1" x14ac:dyDescent="0.25">
      <c r="A956">
        <v>681</v>
      </c>
      <c r="B956" t="s">
        <v>135</v>
      </c>
      <c r="C956">
        <v>811</v>
      </c>
      <c r="D956" t="s">
        <v>153</v>
      </c>
      <c r="E956" s="6">
        <v>8.56</v>
      </c>
    </row>
    <row r="957" spans="1:5" ht="15" customHeight="1" x14ac:dyDescent="0.25">
      <c r="A957">
        <v>681</v>
      </c>
      <c r="B957" t="s">
        <v>135</v>
      </c>
      <c r="C957">
        <v>820</v>
      </c>
      <c r="D957" t="s">
        <v>154</v>
      </c>
      <c r="E957" s="6">
        <v>1.48</v>
      </c>
    </row>
    <row r="958" spans="1:5" ht="15" customHeight="1" x14ac:dyDescent="0.25">
      <c r="A958">
        <v>681</v>
      </c>
      <c r="B958" t="s">
        <v>135</v>
      </c>
      <c r="C958">
        <v>830</v>
      </c>
      <c r="D958" t="s">
        <v>155</v>
      </c>
      <c r="E958" s="6">
        <v>1.22</v>
      </c>
    </row>
    <row r="959" spans="1:5" ht="15" customHeight="1" x14ac:dyDescent="0.25">
      <c r="A959">
        <v>681</v>
      </c>
      <c r="B959" t="s">
        <v>135</v>
      </c>
      <c r="C959">
        <v>831</v>
      </c>
      <c r="D959" t="s">
        <v>156</v>
      </c>
      <c r="E959" s="6">
        <v>9.93</v>
      </c>
    </row>
    <row r="960" spans="1:5" ht="15" customHeight="1" x14ac:dyDescent="0.25">
      <c r="A960">
        <v>681</v>
      </c>
      <c r="B960" t="s">
        <v>135</v>
      </c>
      <c r="C960">
        <v>832</v>
      </c>
      <c r="D960" t="s">
        <v>157</v>
      </c>
      <c r="E960" s="6">
        <v>1.87</v>
      </c>
    </row>
    <row r="961" spans="1:5" ht="15" customHeight="1" x14ac:dyDescent="0.25">
      <c r="A961">
        <v>681</v>
      </c>
      <c r="B961" t="s">
        <v>135</v>
      </c>
      <c r="C961">
        <v>833</v>
      </c>
      <c r="D961" t="s">
        <v>158</v>
      </c>
      <c r="E961" s="6">
        <v>2.9</v>
      </c>
    </row>
    <row r="962" spans="1:5" ht="15" customHeight="1" x14ac:dyDescent="0.25">
      <c r="A962">
        <v>681</v>
      </c>
      <c r="B962" t="s">
        <v>135</v>
      </c>
      <c r="C962">
        <v>840</v>
      </c>
      <c r="D962" t="s">
        <v>159</v>
      </c>
      <c r="E962" s="6">
        <v>3.79</v>
      </c>
    </row>
    <row r="963" spans="1:5" ht="15" customHeight="1" x14ac:dyDescent="0.25">
      <c r="A963">
        <v>681</v>
      </c>
      <c r="B963" t="s">
        <v>135</v>
      </c>
      <c r="C963">
        <v>841</v>
      </c>
      <c r="D963" t="s">
        <v>160</v>
      </c>
      <c r="E963" s="6">
        <v>1.41</v>
      </c>
    </row>
    <row r="964" spans="1:5" ht="15" customHeight="1" x14ac:dyDescent="0.25">
      <c r="A964">
        <v>681</v>
      </c>
      <c r="B964" t="s">
        <v>135</v>
      </c>
      <c r="C964">
        <v>842</v>
      </c>
      <c r="D964" t="s">
        <v>161</v>
      </c>
      <c r="E964" s="6">
        <v>6.7</v>
      </c>
    </row>
    <row r="965" spans="1:5" ht="15" customHeight="1" x14ac:dyDescent="0.25">
      <c r="A965">
        <v>681</v>
      </c>
      <c r="B965" t="s">
        <v>135</v>
      </c>
      <c r="C965">
        <v>847</v>
      </c>
      <c r="D965" t="s">
        <v>162</v>
      </c>
      <c r="E965" s="6">
        <v>1.64</v>
      </c>
    </row>
    <row r="966" spans="1:5" ht="15" customHeight="1" x14ac:dyDescent="0.25">
      <c r="A966">
        <v>681</v>
      </c>
      <c r="B966" t="s">
        <v>135</v>
      </c>
      <c r="C966">
        <v>877</v>
      </c>
      <c r="D966" t="s">
        <v>163</v>
      </c>
      <c r="E966" s="6">
        <v>22.5</v>
      </c>
    </row>
    <row r="967" spans="1:5" ht="15" customHeight="1" x14ac:dyDescent="0.25">
      <c r="A967">
        <v>681</v>
      </c>
      <c r="B967" t="s">
        <v>135</v>
      </c>
      <c r="C967">
        <v>898</v>
      </c>
      <c r="D967" t="s">
        <v>164</v>
      </c>
      <c r="E967" s="6">
        <v>6.31</v>
      </c>
    </row>
    <row r="968" spans="1:5" ht="15" customHeight="1" x14ac:dyDescent="0.25">
      <c r="A968">
        <v>681</v>
      </c>
      <c r="B968" t="s">
        <v>135</v>
      </c>
      <c r="C968">
        <v>899</v>
      </c>
      <c r="D968" t="s">
        <v>165</v>
      </c>
      <c r="E968" s="6">
        <v>7.22</v>
      </c>
    </row>
    <row r="969" spans="1:5" ht="15" customHeight="1" x14ac:dyDescent="0.25">
      <c r="A969">
        <v>681</v>
      </c>
      <c r="B969" t="s">
        <v>135</v>
      </c>
      <c r="C969">
        <v>1912</v>
      </c>
      <c r="D969" t="s">
        <v>166</v>
      </c>
      <c r="E969" s="6">
        <v>27.83</v>
      </c>
    </row>
    <row r="970" spans="1:5" ht="15" customHeight="1" x14ac:dyDescent="0.25">
      <c r="A970">
        <v>681</v>
      </c>
      <c r="B970" t="s">
        <v>135</v>
      </c>
      <c r="C970">
        <v>9999</v>
      </c>
      <c r="D970" t="s">
        <v>117</v>
      </c>
      <c r="E970" s="6">
        <v>3.26</v>
      </c>
    </row>
    <row r="971" spans="1:5" ht="15" customHeight="1" x14ac:dyDescent="0.25">
      <c r="A971">
        <v>682</v>
      </c>
      <c r="B971" t="s">
        <v>136</v>
      </c>
      <c r="C971">
        <v>1</v>
      </c>
      <c r="D971" t="s">
        <v>117</v>
      </c>
      <c r="E971" s="6">
        <v>0.68</v>
      </c>
    </row>
    <row r="972" spans="1:5" ht="15" customHeight="1" x14ac:dyDescent="0.25">
      <c r="A972">
        <v>682</v>
      </c>
      <c r="B972" t="s">
        <v>136</v>
      </c>
      <c r="C972">
        <v>3</v>
      </c>
      <c r="D972" t="s">
        <v>118</v>
      </c>
      <c r="E972" s="6">
        <v>58.54</v>
      </c>
    </row>
    <row r="973" spans="1:5" ht="15" customHeight="1" x14ac:dyDescent="0.25">
      <c r="A973">
        <v>682</v>
      </c>
      <c r="B973" t="s">
        <v>136</v>
      </c>
      <c r="C973">
        <v>5</v>
      </c>
      <c r="D973" t="s">
        <v>119</v>
      </c>
      <c r="E973" s="6">
        <v>105.86</v>
      </c>
    </row>
    <row r="974" spans="1:5" ht="15" customHeight="1" x14ac:dyDescent="0.25">
      <c r="A974">
        <v>682</v>
      </c>
      <c r="B974" t="s">
        <v>136</v>
      </c>
      <c r="C974">
        <v>11</v>
      </c>
      <c r="D974" t="s">
        <v>120</v>
      </c>
      <c r="E974" s="6">
        <v>85.91</v>
      </c>
    </row>
    <row r="975" spans="1:5" ht="15" customHeight="1" x14ac:dyDescent="0.25">
      <c r="A975">
        <v>682</v>
      </c>
      <c r="B975" t="s">
        <v>136</v>
      </c>
      <c r="C975">
        <v>12</v>
      </c>
      <c r="D975" t="s">
        <v>121</v>
      </c>
      <c r="E975" s="6">
        <v>54.31</v>
      </c>
    </row>
    <row r="976" spans="1:5" ht="15" customHeight="1" x14ac:dyDescent="0.25">
      <c r="A976">
        <v>682</v>
      </c>
      <c r="B976" t="s">
        <v>136</v>
      </c>
      <c r="C976">
        <v>29</v>
      </c>
      <c r="D976" t="s">
        <v>122</v>
      </c>
      <c r="E976" s="6">
        <v>121.29</v>
      </c>
    </row>
    <row r="977" spans="1:5" ht="15" customHeight="1" x14ac:dyDescent="0.25">
      <c r="A977">
        <v>682</v>
      </c>
      <c r="B977" t="s">
        <v>136</v>
      </c>
      <c r="C977">
        <v>70</v>
      </c>
      <c r="D977" t="s">
        <v>123</v>
      </c>
      <c r="E977" s="6">
        <v>80.86</v>
      </c>
    </row>
    <row r="978" spans="1:5" ht="15" customHeight="1" x14ac:dyDescent="0.25">
      <c r="A978">
        <v>682</v>
      </c>
      <c r="B978" t="s">
        <v>136</v>
      </c>
      <c r="C978">
        <v>71</v>
      </c>
      <c r="D978" t="s">
        <v>124</v>
      </c>
      <c r="E978" s="6">
        <v>125.1</v>
      </c>
    </row>
    <row r="979" spans="1:5" ht="15" customHeight="1" x14ac:dyDescent="0.25">
      <c r="A979">
        <v>682</v>
      </c>
      <c r="B979" t="s">
        <v>136</v>
      </c>
      <c r="C979">
        <v>384</v>
      </c>
      <c r="D979" t="s">
        <v>125</v>
      </c>
      <c r="E979" s="6">
        <v>1.2</v>
      </c>
    </row>
    <row r="980" spans="1:5" ht="15" customHeight="1" x14ac:dyDescent="0.25">
      <c r="A980">
        <v>682</v>
      </c>
      <c r="B980" t="s">
        <v>136</v>
      </c>
      <c r="C980">
        <v>429</v>
      </c>
      <c r="D980" t="s">
        <v>126</v>
      </c>
      <c r="E980" s="6">
        <v>69.010000000000005</v>
      </c>
    </row>
    <row r="981" spans="1:5" ht="15" customHeight="1" x14ac:dyDescent="0.25">
      <c r="A981">
        <v>682</v>
      </c>
      <c r="B981" t="s">
        <v>136</v>
      </c>
      <c r="C981">
        <v>486</v>
      </c>
      <c r="D981" t="s">
        <v>127</v>
      </c>
      <c r="E981" s="6">
        <v>66.150000000000006</v>
      </c>
    </row>
    <row r="982" spans="1:5" ht="15" customHeight="1" x14ac:dyDescent="0.25">
      <c r="A982">
        <v>682</v>
      </c>
      <c r="B982" t="s">
        <v>136</v>
      </c>
      <c r="C982">
        <v>546</v>
      </c>
      <c r="D982" t="s">
        <v>128</v>
      </c>
      <c r="E982" s="6">
        <v>72.37</v>
      </c>
    </row>
    <row r="983" spans="1:5" ht="15" customHeight="1" x14ac:dyDescent="0.25">
      <c r="A983">
        <v>682</v>
      </c>
      <c r="B983" t="s">
        <v>136</v>
      </c>
      <c r="C983">
        <v>599</v>
      </c>
      <c r="D983" t="s">
        <v>129</v>
      </c>
      <c r="E983" s="6">
        <v>5.03</v>
      </c>
    </row>
    <row r="984" spans="1:5" ht="15" customHeight="1" x14ac:dyDescent="0.25">
      <c r="A984">
        <v>682</v>
      </c>
      <c r="B984" t="s">
        <v>136</v>
      </c>
      <c r="C984">
        <v>620</v>
      </c>
      <c r="D984" t="s">
        <v>130</v>
      </c>
      <c r="E984" s="6">
        <v>41.37</v>
      </c>
    </row>
    <row r="985" spans="1:5" ht="15" customHeight="1" x14ac:dyDescent="0.25">
      <c r="A985">
        <v>682</v>
      </c>
      <c r="B985" t="s">
        <v>136</v>
      </c>
      <c r="C985">
        <v>626</v>
      </c>
      <c r="D985" t="s">
        <v>131</v>
      </c>
      <c r="E985" s="6">
        <v>3.95</v>
      </c>
    </row>
    <row r="986" spans="1:5" ht="15" customHeight="1" x14ac:dyDescent="0.25">
      <c r="A986">
        <v>682</v>
      </c>
      <c r="B986" t="s">
        <v>136</v>
      </c>
      <c r="C986">
        <v>627</v>
      </c>
      <c r="D986" t="s">
        <v>132</v>
      </c>
      <c r="E986" s="6">
        <v>4.6500000000000004</v>
      </c>
    </row>
    <row r="987" spans="1:5" ht="15" customHeight="1" x14ac:dyDescent="0.25">
      <c r="A987">
        <v>682</v>
      </c>
      <c r="B987" t="s">
        <v>136</v>
      </c>
      <c r="C987">
        <v>651</v>
      </c>
      <c r="D987" t="s">
        <v>133</v>
      </c>
      <c r="E987" s="6">
        <v>2.66</v>
      </c>
    </row>
    <row r="988" spans="1:5" ht="15" customHeight="1" x14ac:dyDescent="0.25">
      <c r="A988">
        <v>682</v>
      </c>
      <c r="B988" t="s">
        <v>136</v>
      </c>
      <c r="C988">
        <v>668</v>
      </c>
      <c r="D988" t="s">
        <v>134</v>
      </c>
      <c r="E988" s="6">
        <v>3.24</v>
      </c>
    </row>
    <row r="989" spans="1:5" ht="15" customHeight="1" x14ac:dyDescent="0.25">
      <c r="A989">
        <v>682</v>
      </c>
      <c r="B989" t="s">
        <v>136</v>
      </c>
      <c r="C989">
        <v>681</v>
      </c>
      <c r="D989" t="s">
        <v>135</v>
      </c>
      <c r="E989" s="6">
        <v>3.84</v>
      </c>
    </row>
    <row r="990" spans="1:5" ht="15" customHeight="1" x14ac:dyDescent="0.25">
      <c r="A990">
        <v>682</v>
      </c>
      <c r="B990" t="s">
        <v>136</v>
      </c>
      <c r="C990">
        <v>682</v>
      </c>
      <c r="D990" t="s">
        <v>136</v>
      </c>
      <c r="E990" s="6">
        <v>0</v>
      </c>
    </row>
    <row r="991" spans="1:5" ht="15" customHeight="1" x14ac:dyDescent="0.25">
      <c r="A991">
        <v>682</v>
      </c>
      <c r="B991" t="s">
        <v>136</v>
      </c>
      <c r="C991">
        <v>683</v>
      </c>
      <c r="D991" t="s">
        <v>137</v>
      </c>
      <c r="E991" s="6">
        <v>0.66</v>
      </c>
    </row>
    <row r="992" spans="1:5" ht="15" customHeight="1" x14ac:dyDescent="0.25">
      <c r="A992">
        <v>682</v>
      </c>
      <c r="B992" t="s">
        <v>136</v>
      </c>
      <c r="C992">
        <v>684</v>
      </c>
      <c r="D992" t="s">
        <v>138</v>
      </c>
      <c r="E992" s="6">
        <v>1.9</v>
      </c>
    </row>
    <row r="993" spans="1:5" ht="15" customHeight="1" x14ac:dyDescent="0.25">
      <c r="A993">
        <v>682</v>
      </c>
      <c r="B993" t="s">
        <v>136</v>
      </c>
      <c r="C993">
        <v>685</v>
      </c>
      <c r="D993" t="s">
        <v>139</v>
      </c>
      <c r="E993" s="6">
        <v>2.4900000000000002</v>
      </c>
    </row>
    <row r="994" spans="1:5" ht="15" customHeight="1" x14ac:dyDescent="0.25">
      <c r="A994">
        <v>682</v>
      </c>
      <c r="B994" t="s">
        <v>136</v>
      </c>
      <c r="C994">
        <v>691</v>
      </c>
      <c r="D994" t="s">
        <v>140</v>
      </c>
      <c r="E994" s="6">
        <v>3.82</v>
      </c>
    </row>
    <row r="995" spans="1:5" ht="15" customHeight="1" x14ac:dyDescent="0.25">
      <c r="A995">
        <v>682</v>
      </c>
      <c r="B995" t="s">
        <v>136</v>
      </c>
      <c r="C995">
        <v>706</v>
      </c>
      <c r="D995" t="s">
        <v>141</v>
      </c>
      <c r="E995" s="6">
        <v>2.1800000000000002</v>
      </c>
    </row>
    <row r="996" spans="1:5" ht="15" customHeight="1" x14ac:dyDescent="0.25">
      <c r="A996">
        <v>682</v>
      </c>
      <c r="B996" t="s">
        <v>136</v>
      </c>
      <c r="C996">
        <v>713</v>
      </c>
      <c r="D996" t="s">
        <v>142</v>
      </c>
      <c r="E996" s="6">
        <v>1.62</v>
      </c>
    </row>
    <row r="997" spans="1:5" ht="15" customHeight="1" x14ac:dyDescent="0.25">
      <c r="A997">
        <v>682</v>
      </c>
      <c r="B997" t="s">
        <v>136</v>
      </c>
      <c r="C997">
        <v>718</v>
      </c>
      <c r="D997" t="s">
        <v>143</v>
      </c>
      <c r="E997" s="6">
        <v>2.5099999999999998</v>
      </c>
    </row>
    <row r="998" spans="1:5" ht="15" customHeight="1" x14ac:dyDescent="0.25">
      <c r="A998">
        <v>682</v>
      </c>
      <c r="B998" t="s">
        <v>136</v>
      </c>
      <c r="C998">
        <v>731</v>
      </c>
      <c r="D998" t="s">
        <v>144</v>
      </c>
      <c r="E998" s="6">
        <v>30.47</v>
      </c>
    </row>
    <row r="999" spans="1:5" ht="15" customHeight="1" x14ac:dyDescent="0.25">
      <c r="A999">
        <v>682</v>
      </c>
      <c r="B999" t="s">
        <v>136</v>
      </c>
      <c r="C999">
        <v>743</v>
      </c>
      <c r="D999" t="s">
        <v>145</v>
      </c>
      <c r="E999" s="6">
        <v>15.45</v>
      </c>
    </row>
    <row r="1000" spans="1:5" ht="15" customHeight="1" x14ac:dyDescent="0.25">
      <c r="A1000">
        <v>682</v>
      </c>
      <c r="B1000" t="s">
        <v>136</v>
      </c>
      <c r="C1000">
        <v>760</v>
      </c>
      <c r="D1000" t="s">
        <v>146</v>
      </c>
      <c r="E1000" s="6">
        <v>3.13</v>
      </c>
    </row>
    <row r="1001" spans="1:5" ht="15" customHeight="1" x14ac:dyDescent="0.25">
      <c r="A1001">
        <v>682</v>
      </c>
      <c r="B1001" t="s">
        <v>136</v>
      </c>
      <c r="C1001">
        <v>765</v>
      </c>
      <c r="D1001" t="s">
        <v>147</v>
      </c>
      <c r="E1001" s="6">
        <v>4.8</v>
      </c>
    </row>
    <row r="1002" spans="1:5" ht="15" customHeight="1" x14ac:dyDescent="0.25">
      <c r="A1002">
        <v>682</v>
      </c>
      <c r="B1002" t="s">
        <v>136</v>
      </c>
      <c r="C1002">
        <v>766</v>
      </c>
      <c r="D1002" t="s">
        <v>148</v>
      </c>
      <c r="E1002" s="6">
        <v>1.29</v>
      </c>
    </row>
    <row r="1003" spans="1:5" ht="15" customHeight="1" x14ac:dyDescent="0.25">
      <c r="A1003">
        <v>682</v>
      </c>
      <c r="B1003" t="s">
        <v>136</v>
      </c>
      <c r="C1003">
        <v>767</v>
      </c>
      <c r="D1003" t="s">
        <v>149</v>
      </c>
      <c r="E1003" s="6">
        <v>6.26</v>
      </c>
    </row>
    <row r="1004" spans="1:5" ht="15" customHeight="1" x14ac:dyDescent="0.25">
      <c r="A1004">
        <v>682</v>
      </c>
      <c r="B1004" t="s">
        <v>136</v>
      </c>
      <c r="C1004">
        <v>795</v>
      </c>
      <c r="D1004" t="s">
        <v>150</v>
      </c>
      <c r="E1004" s="6">
        <v>2.0499999999999998</v>
      </c>
    </row>
    <row r="1005" spans="1:5" ht="15" customHeight="1" x14ac:dyDescent="0.25">
      <c r="A1005">
        <v>682</v>
      </c>
      <c r="B1005" t="s">
        <v>136</v>
      </c>
      <c r="C1005">
        <v>798</v>
      </c>
      <c r="D1005" t="s">
        <v>151</v>
      </c>
      <c r="E1005" s="6">
        <v>5.2</v>
      </c>
    </row>
    <row r="1006" spans="1:5" ht="15" customHeight="1" x14ac:dyDescent="0.25">
      <c r="A1006">
        <v>682</v>
      </c>
      <c r="B1006" t="s">
        <v>136</v>
      </c>
      <c r="C1006">
        <v>799</v>
      </c>
      <c r="D1006" t="s">
        <v>152</v>
      </c>
      <c r="E1006" s="6">
        <v>3.52</v>
      </c>
    </row>
    <row r="1007" spans="1:5" ht="15" customHeight="1" x14ac:dyDescent="0.25">
      <c r="A1007">
        <v>682</v>
      </c>
      <c r="B1007" t="s">
        <v>136</v>
      </c>
      <c r="C1007">
        <v>811</v>
      </c>
      <c r="D1007" t="s">
        <v>153</v>
      </c>
      <c r="E1007" s="6">
        <v>5.0599999999999996</v>
      </c>
    </row>
    <row r="1008" spans="1:5" ht="15" customHeight="1" x14ac:dyDescent="0.25">
      <c r="A1008">
        <v>682</v>
      </c>
      <c r="B1008" t="s">
        <v>136</v>
      </c>
      <c r="C1008">
        <v>820</v>
      </c>
      <c r="D1008" t="s">
        <v>154</v>
      </c>
      <c r="E1008" s="6">
        <v>4.03</v>
      </c>
    </row>
    <row r="1009" spans="1:5" ht="15" customHeight="1" x14ac:dyDescent="0.25">
      <c r="A1009">
        <v>682</v>
      </c>
      <c r="B1009" t="s">
        <v>136</v>
      </c>
      <c r="C1009">
        <v>830</v>
      </c>
      <c r="D1009" t="s">
        <v>155</v>
      </c>
      <c r="E1009" s="6">
        <v>4.33</v>
      </c>
    </row>
    <row r="1010" spans="1:5" ht="15" customHeight="1" x14ac:dyDescent="0.25">
      <c r="A1010">
        <v>682</v>
      </c>
      <c r="B1010" t="s">
        <v>136</v>
      </c>
      <c r="C1010">
        <v>831</v>
      </c>
      <c r="D1010" t="s">
        <v>156</v>
      </c>
      <c r="E1010" s="6">
        <v>7.34</v>
      </c>
    </row>
    <row r="1011" spans="1:5" ht="15" customHeight="1" x14ac:dyDescent="0.25">
      <c r="A1011">
        <v>682</v>
      </c>
      <c r="B1011" t="s">
        <v>136</v>
      </c>
      <c r="C1011">
        <v>832</v>
      </c>
      <c r="D1011" t="s">
        <v>157</v>
      </c>
      <c r="E1011" s="6">
        <v>4.2300000000000004</v>
      </c>
    </row>
    <row r="1012" spans="1:5" ht="15" customHeight="1" x14ac:dyDescent="0.25">
      <c r="A1012">
        <v>682</v>
      </c>
      <c r="B1012" t="s">
        <v>136</v>
      </c>
      <c r="C1012">
        <v>833</v>
      </c>
      <c r="D1012" t="s">
        <v>158</v>
      </c>
      <c r="E1012" s="6">
        <v>2.62</v>
      </c>
    </row>
    <row r="1013" spans="1:5" ht="15" customHeight="1" x14ac:dyDescent="0.25">
      <c r="A1013">
        <v>682</v>
      </c>
      <c r="B1013" t="s">
        <v>136</v>
      </c>
      <c r="C1013">
        <v>840</v>
      </c>
      <c r="D1013" t="s">
        <v>159</v>
      </c>
      <c r="E1013" s="6">
        <v>6.35</v>
      </c>
    </row>
    <row r="1014" spans="1:5" ht="15" customHeight="1" x14ac:dyDescent="0.25">
      <c r="A1014">
        <v>682</v>
      </c>
      <c r="B1014" t="s">
        <v>136</v>
      </c>
      <c r="C1014">
        <v>841</v>
      </c>
      <c r="D1014" t="s">
        <v>160</v>
      </c>
      <c r="E1014" s="6">
        <v>2.48</v>
      </c>
    </row>
    <row r="1015" spans="1:5" ht="15" customHeight="1" x14ac:dyDescent="0.25">
      <c r="A1015">
        <v>682</v>
      </c>
      <c r="B1015" t="s">
        <v>136</v>
      </c>
      <c r="C1015">
        <v>842</v>
      </c>
      <c r="D1015" t="s">
        <v>161</v>
      </c>
      <c r="E1015" s="6">
        <v>2.92</v>
      </c>
    </row>
    <row r="1016" spans="1:5" ht="15" customHeight="1" x14ac:dyDescent="0.25">
      <c r="A1016">
        <v>682</v>
      </c>
      <c r="B1016" t="s">
        <v>136</v>
      </c>
      <c r="C1016">
        <v>847</v>
      </c>
      <c r="D1016" t="s">
        <v>162</v>
      </c>
      <c r="E1016" s="6">
        <v>2.5299999999999998</v>
      </c>
    </row>
    <row r="1017" spans="1:5" ht="15" customHeight="1" x14ac:dyDescent="0.25">
      <c r="A1017">
        <v>682</v>
      </c>
      <c r="B1017" t="s">
        <v>136</v>
      </c>
      <c r="C1017">
        <v>877</v>
      </c>
      <c r="D1017" t="s">
        <v>163</v>
      </c>
      <c r="E1017" s="6">
        <v>21.03</v>
      </c>
    </row>
    <row r="1018" spans="1:5" ht="15" customHeight="1" x14ac:dyDescent="0.25">
      <c r="A1018">
        <v>682</v>
      </c>
      <c r="B1018" t="s">
        <v>136</v>
      </c>
      <c r="C1018">
        <v>898</v>
      </c>
      <c r="D1018" t="s">
        <v>164</v>
      </c>
      <c r="E1018" s="6">
        <v>4.24</v>
      </c>
    </row>
    <row r="1019" spans="1:5" ht="15" customHeight="1" x14ac:dyDescent="0.25">
      <c r="A1019">
        <v>682</v>
      </c>
      <c r="B1019" t="s">
        <v>136</v>
      </c>
      <c r="C1019">
        <v>899</v>
      </c>
      <c r="D1019" t="s">
        <v>165</v>
      </c>
      <c r="E1019" s="6">
        <v>3.53</v>
      </c>
    </row>
    <row r="1020" spans="1:5" ht="15" customHeight="1" x14ac:dyDescent="0.25">
      <c r="A1020">
        <v>682</v>
      </c>
      <c r="B1020" t="s">
        <v>136</v>
      </c>
      <c r="C1020">
        <v>1912</v>
      </c>
      <c r="D1020" t="s">
        <v>166</v>
      </c>
      <c r="E1020" s="6">
        <v>25.92</v>
      </c>
    </row>
    <row r="1021" spans="1:5" ht="15" customHeight="1" x14ac:dyDescent="0.25">
      <c r="A1021">
        <v>682</v>
      </c>
      <c r="B1021" t="s">
        <v>136</v>
      </c>
      <c r="C1021">
        <v>9999</v>
      </c>
      <c r="D1021" t="s">
        <v>117</v>
      </c>
      <c r="E1021" s="6">
        <v>0.68</v>
      </c>
    </row>
    <row r="1022" spans="1:5" ht="15" customHeight="1" x14ac:dyDescent="0.25">
      <c r="A1022">
        <v>683</v>
      </c>
      <c r="B1022" t="s">
        <v>137</v>
      </c>
      <c r="C1022">
        <v>1</v>
      </c>
      <c r="D1022" t="s">
        <v>117</v>
      </c>
      <c r="E1022" s="6">
        <v>0.53</v>
      </c>
    </row>
    <row r="1023" spans="1:5" ht="15" customHeight="1" x14ac:dyDescent="0.25">
      <c r="A1023">
        <v>683</v>
      </c>
      <c r="B1023" t="s">
        <v>137</v>
      </c>
      <c r="C1023">
        <v>3</v>
      </c>
      <c r="D1023" t="s">
        <v>118</v>
      </c>
      <c r="E1023" s="6">
        <v>58.97</v>
      </c>
    </row>
    <row r="1024" spans="1:5" ht="15" customHeight="1" x14ac:dyDescent="0.25">
      <c r="A1024">
        <v>683</v>
      </c>
      <c r="B1024" t="s">
        <v>137</v>
      </c>
      <c r="C1024">
        <v>5</v>
      </c>
      <c r="D1024" t="s">
        <v>119</v>
      </c>
      <c r="E1024" s="6">
        <v>106.34</v>
      </c>
    </row>
    <row r="1025" spans="1:5" ht="15" customHeight="1" x14ac:dyDescent="0.25">
      <c r="A1025">
        <v>683</v>
      </c>
      <c r="B1025" t="s">
        <v>137</v>
      </c>
      <c r="C1025">
        <v>11</v>
      </c>
      <c r="D1025" t="s">
        <v>120</v>
      </c>
      <c r="E1025" s="6">
        <v>86.04</v>
      </c>
    </row>
    <row r="1026" spans="1:5" ht="15" customHeight="1" x14ac:dyDescent="0.25">
      <c r="A1026">
        <v>683</v>
      </c>
      <c r="B1026" t="s">
        <v>137</v>
      </c>
      <c r="C1026">
        <v>12</v>
      </c>
      <c r="D1026" t="s">
        <v>121</v>
      </c>
      <c r="E1026" s="6">
        <v>54.96</v>
      </c>
    </row>
    <row r="1027" spans="1:5" ht="15" customHeight="1" x14ac:dyDescent="0.25">
      <c r="A1027">
        <v>683</v>
      </c>
      <c r="B1027" t="s">
        <v>137</v>
      </c>
      <c r="C1027">
        <v>29</v>
      </c>
      <c r="D1027" t="s">
        <v>122</v>
      </c>
      <c r="E1027" s="6">
        <v>120.64</v>
      </c>
    </row>
    <row r="1028" spans="1:5" ht="15" customHeight="1" x14ac:dyDescent="0.25">
      <c r="A1028">
        <v>683</v>
      </c>
      <c r="B1028" t="s">
        <v>137</v>
      </c>
      <c r="C1028">
        <v>70</v>
      </c>
      <c r="D1028" t="s">
        <v>123</v>
      </c>
      <c r="E1028" s="6">
        <v>81.38</v>
      </c>
    </row>
    <row r="1029" spans="1:5" ht="15" customHeight="1" x14ac:dyDescent="0.25">
      <c r="A1029">
        <v>683</v>
      </c>
      <c r="B1029" t="s">
        <v>137</v>
      </c>
      <c r="C1029">
        <v>71</v>
      </c>
      <c r="D1029" t="s">
        <v>124</v>
      </c>
      <c r="E1029" s="6">
        <v>125.23</v>
      </c>
    </row>
    <row r="1030" spans="1:5" ht="15" customHeight="1" x14ac:dyDescent="0.25">
      <c r="A1030">
        <v>683</v>
      </c>
      <c r="B1030" t="s">
        <v>137</v>
      </c>
      <c r="C1030">
        <v>384</v>
      </c>
      <c r="D1030" t="s">
        <v>125</v>
      </c>
      <c r="E1030" s="6">
        <v>0.54</v>
      </c>
    </row>
    <row r="1031" spans="1:5" ht="15" customHeight="1" x14ac:dyDescent="0.25">
      <c r="A1031">
        <v>683</v>
      </c>
      <c r="B1031" t="s">
        <v>137</v>
      </c>
      <c r="C1031">
        <v>429</v>
      </c>
      <c r="D1031" t="s">
        <v>126</v>
      </c>
      <c r="E1031" s="6">
        <v>69.150000000000006</v>
      </c>
    </row>
    <row r="1032" spans="1:5" ht="15" customHeight="1" x14ac:dyDescent="0.25">
      <c r="A1032">
        <v>683</v>
      </c>
      <c r="B1032" t="s">
        <v>137</v>
      </c>
      <c r="C1032">
        <v>486</v>
      </c>
      <c r="D1032" t="s">
        <v>127</v>
      </c>
      <c r="E1032" s="6">
        <v>66.81</v>
      </c>
    </row>
    <row r="1033" spans="1:5" ht="15" customHeight="1" x14ac:dyDescent="0.25">
      <c r="A1033">
        <v>683</v>
      </c>
      <c r="B1033" t="s">
        <v>137</v>
      </c>
      <c r="C1033">
        <v>546</v>
      </c>
      <c r="D1033" t="s">
        <v>128</v>
      </c>
      <c r="E1033" s="6">
        <v>72.91</v>
      </c>
    </row>
    <row r="1034" spans="1:5" ht="15" customHeight="1" x14ac:dyDescent="0.25">
      <c r="A1034">
        <v>683</v>
      </c>
      <c r="B1034" t="s">
        <v>137</v>
      </c>
      <c r="C1034">
        <v>599</v>
      </c>
      <c r="D1034" t="s">
        <v>129</v>
      </c>
      <c r="E1034" s="6">
        <v>5.58</v>
      </c>
    </row>
    <row r="1035" spans="1:5" ht="15" customHeight="1" x14ac:dyDescent="0.25">
      <c r="A1035">
        <v>683</v>
      </c>
      <c r="B1035" t="s">
        <v>137</v>
      </c>
      <c r="C1035">
        <v>620</v>
      </c>
      <c r="D1035" t="s">
        <v>130</v>
      </c>
      <c r="E1035" s="6">
        <v>40.97</v>
      </c>
    </row>
    <row r="1036" spans="1:5" ht="15" customHeight="1" x14ac:dyDescent="0.25">
      <c r="A1036">
        <v>683</v>
      </c>
      <c r="B1036" t="s">
        <v>137</v>
      </c>
      <c r="C1036">
        <v>626</v>
      </c>
      <c r="D1036" t="s">
        <v>131</v>
      </c>
      <c r="E1036" s="6">
        <v>4</v>
      </c>
    </row>
    <row r="1037" spans="1:5" ht="15" customHeight="1" x14ac:dyDescent="0.25">
      <c r="A1037">
        <v>683</v>
      </c>
      <c r="B1037" t="s">
        <v>137</v>
      </c>
      <c r="C1037">
        <v>627</v>
      </c>
      <c r="D1037" t="s">
        <v>132</v>
      </c>
      <c r="E1037" s="6">
        <v>4.46</v>
      </c>
    </row>
    <row r="1038" spans="1:5" ht="15" customHeight="1" x14ac:dyDescent="0.25">
      <c r="A1038">
        <v>683</v>
      </c>
      <c r="B1038" t="s">
        <v>137</v>
      </c>
      <c r="C1038">
        <v>651</v>
      </c>
      <c r="D1038" t="s">
        <v>133</v>
      </c>
      <c r="E1038" s="6">
        <v>2.06</v>
      </c>
    </row>
    <row r="1039" spans="1:5" ht="15" customHeight="1" x14ac:dyDescent="0.25">
      <c r="A1039">
        <v>683</v>
      </c>
      <c r="B1039" t="s">
        <v>137</v>
      </c>
      <c r="C1039">
        <v>668</v>
      </c>
      <c r="D1039" t="s">
        <v>134</v>
      </c>
      <c r="E1039" s="6">
        <v>3.7</v>
      </c>
    </row>
    <row r="1040" spans="1:5" ht="15" customHeight="1" x14ac:dyDescent="0.25">
      <c r="A1040">
        <v>683</v>
      </c>
      <c r="B1040" t="s">
        <v>137</v>
      </c>
      <c r="C1040">
        <v>681</v>
      </c>
      <c r="D1040" t="s">
        <v>135</v>
      </c>
      <c r="E1040" s="6">
        <v>3.21</v>
      </c>
    </row>
    <row r="1041" spans="1:5" ht="15" customHeight="1" x14ac:dyDescent="0.25">
      <c r="A1041">
        <v>683</v>
      </c>
      <c r="B1041" t="s">
        <v>137</v>
      </c>
      <c r="C1041">
        <v>682</v>
      </c>
      <c r="D1041" t="s">
        <v>136</v>
      </c>
      <c r="E1041" s="6">
        <v>0.66</v>
      </c>
    </row>
    <row r="1042" spans="1:5" ht="15" customHeight="1" x14ac:dyDescent="0.25">
      <c r="A1042">
        <v>683</v>
      </c>
      <c r="B1042" t="s">
        <v>137</v>
      </c>
      <c r="C1042">
        <v>683</v>
      </c>
      <c r="D1042" t="s">
        <v>137</v>
      </c>
      <c r="E1042" s="6">
        <v>0</v>
      </c>
    </row>
    <row r="1043" spans="1:5" ht="15" customHeight="1" x14ac:dyDescent="0.25">
      <c r="A1043">
        <v>683</v>
      </c>
      <c r="B1043" t="s">
        <v>137</v>
      </c>
      <c r="C1043">
        <v>684</v>
      </c>
      <c r="D1043" t="s">
        <v>138</v>
      </c>
      <c r="E1043" s="6">
        <v>1.84</v>
      </c>
    </row>
    <row r="1044" spans="1:5" ht="15" customHeight="1" x14ac:dyDescent="0.25">
      <c r="A1044">
        <v>683</v>
      </c>
      <c r="B1044" t="s">
        <v>137</v>
      </c>
      <c r="C1044">
        <v>685</v>
      </c>
      <c r="D1044" t="s">
        <v>139</v>
      </c>
      <c r="E1044" s="6">
        <v>1.99</v>
      </c>
    </row>
    <row r="1045" spans="1:5" ht="15" customHeight="1" x14ac:dyDescent="0.25">
      <c r="A1045">
        <v>683</v>
      </c>
      <c r="B1045" t="s">
        <v>137</v>
      </c>
      <c r="C1045">
        <v>691</v>
      </c>
      <c r="D1045" t="s">
        <v>140</v>
      </c>
      <c r="E1045" s="6">
        <v>3.23</v>
      </c>
    </row>
    <row r="1046" spans="1:5" ht="15" customHeight="1" x14ac:dyDescent="0.25">
      <c r="A1046">
        <v>683</v>
      </c>
      <c r="B1046" t="s">
        <v>137</v>
      </c>
      <c r="C1046">
        <v>706</v>
      </c>
      <c r="D1046" t="s">
        <v>141</v>
      </c>
      <c r="E1046" s="6">
        <v>1.59</v>
      </c>
    </row>
    <row r="1047" spans="1:5" ht="15" customHeight="1" x14ac:dyDescent="0.25">
      <c r="A1047">
        <v>683</v>
      </c>
      <c r="B1047" t="s">
        <v>137</v>
      </c>
      <c r="C1047">
        <v>713</v>
      </c>
      <c r="D1047" t="s">
        <v>142</v>
      </c>
      <c r="E1047" s="6">
        <v>2.13</v>
      </c>
    </row>
    <row r="1048" spans="1:5" ht="15" customHeight="1" x14ac:dyDescent="0.25">
      <c r="A1048">
        <v>683</v>
      </c>
      <c r="B1048" t="s">
        <v>137</v>
      </c>
      <c r="C1048">
        <v>718</v>
      </c>
      <c r="D1048" t="s">
        <v>143</v>
      </c>
      <c r="E1048" s="6">
        <v>2.58</v>
      </c>
    </row>
    <row r="1049" spans="1:5" ht="15" customHeight="1" x14ac:dyDescent="0.25">
      <c r="A1049">
        <v>683</v>
      </c>
      <c r="B1049" t="s">
        <v>137</v>
      </c>
      <c r="C1049">
        <v>731</v>
      </c>
      <c r="D1049" t="s">
        <v>144</v>
      </c>
      <c r="E1049" s="6">
        <v>30.88</v>
      </c>
    </row>
    <row r="1050" spans="1:5" ht="15" customHeight="1" x14ac:dyDescent="0.25">
      <c r="A1050">
        <v>683</v>
      </c>
      <c r="B1050" t="s">
        <v>137</v>
      </c>
      <c r="C1050">
        <v>743</v>
      </c>
      <c r="D1050" t="s">
        <v>145</v>
      </c>
      <c r="E1050" s="6">
        <v>15.08</v>
      </c>
    </row>
    <row r="1051" spans="1:5" ht="15" customHeight="1" x14ac:dyDescent="0.25">
      <c r="A1051">
        <v>683</v>
      </c>
      <c r="B1051" t="s">
        <v>137</v>
      </c>
      <c r="C1051">
        <v>760</v>
      </c>
      <c r="D1051" t="s">
        <v>146</v>
      </c>
      <c r="E1051" s="6">
        <v>2.61</v>
      </c>
    </row>
    <row r="1052" spans="1:5" ht="15" customHeight="1" x14ac:dyDescent="0.25">
      <c r="A1052">
        <v>683</v>
      </c>
      <c r="B1052" t="s">
        <v>137</v>
      </c>
      <c r="C1052">
        <v>765</v>
      </c>
      <c r="D1052" t="s">
        <v>147</v>
      </c>
      <c r="E1052" s="6">
        <v>4.92</v>
      </c>
    </row>
    <row r="1053" spans="1:5" ht="15" customHeight="1" x14ac:dyDescent="0.25">
      <c r="A1053">
        <v>683</v>
      </c>
      <c r="B1053" t="s">
        <v>137</v>
      </c>
      <c r="C1053">
        <v>766</v>
      </c>
      <c r="D1053" t="s">
        <v>148</v>
      </c>
      <c r="E1053" s="6">
        <v>1.33</v>
      </c>
    </row>
    <row r="1054" spans="1:5" ht="15" customHeight="1" x14ac:dyDescent="0.25">
      <c r="A1054">
        <v>683</v>
      </c>
      <c r="B1054" t="s">
        <v>137</v>
      </c>
      <c r="C1054">
        <v>767</v>
      </c>
      <c r="D1054" t="s">
        <v>149</v>
      </c>
      <c r="E1054" s="6">
        <v>5.79</v>
      </c>
    </row>
    <row r="1055" spans="1:5" ht="15" customHeight="1" x14ac:dyDescent="0.25">
      <c r="A1055">
        <v>683</v>
      </c>
      <c r="B1055" t="s">
        <v>137</v>
      </c>
      <c r="C1055">
        <v>795</v>
      </c>
      <c r="D1055" t="s">
        <v>150</v>
      </c>
      <c r="E1055" s="6">
        <v>1.64</v>
      </c>
    </row>
    <row r="1056" spans="1:5" ht="15" customHeight="1" x14ac:dyDescent="0.25">
      <c r="A1056">
        <v>683</v>
      </c>
      <c r="B1056" t="s">
        <v>137</v>
      </c>
      <c r="C1056">
        <v>798</v>
      </c>
      <c r="D1056" t="s">
        <v>151</v>
      </c>
      <c r="E1056" s="6">
        <v>4.67</v>
      </c>
    </row>
    <row r="1057" spans="1:5" ht="15" customHeight="1" x14ac:dyDescent="0.25">
      <c r="A1057">
        <v>683</v>
      </c>
      <c r="B1057" t="s">
        <v>137</v>
      </c>
      <c r="C1057">
        <v>799</v>
      </c>
      <c r="D1057" t="s">
        <v>152</v>
      </c>
      <c r="E1057" s="6">
        <v>3.71</v>
      </c>
    </row>
    <row r="1058" spans="1:5" ht="15" customHeight="1" x14ac:dyDescent="0.25">
      <c r="A1058">
        <v>683</v>
      </c>
      <c r="B1058" t="s">
        <v>137</v>
      </c>
      <c r="C1058">
        <v>811</v>
      </c>
      <c r="D1058" t="s">
        <v>153</v>
      </c>
      <c r="E1058" s="6">
        <v>5.51</v>
      </c>
    </row>
    <row r="1059" spans="1:5" ht="15" customHeight="1" x14ac:dyDescent="0.25">
      <c r="A1059">
        <v>683</v>
      </c>
      <c r="B1059" t="s">
        <v>137</v>
      </c>
      <c r="C1059">
        <v>820</v>
      </c>
      <c r="D1059" t="s">
        <v>154</v>
      </c>
      <c r="E1059" s="6">
        <v>3.54</v>
      </c>
    </row>
    <row r="1060" spans="1:5" ht="15" customHeight="1" x14ac:dyDescent="0.25">
      <c r="A1060">
        <v>683</v>
      </c>
      <c r="B1060" t="s">
        <v>137</v>
      </c>
      <c r="C1060">
        <v>830</v>
      </c>
      <c r="D1060" t="s">
        <v>155</v>
      </c>
      <c r="E1060" s="6">
        <v>3.79</v>
      </c>
    </row>
    <row r="1061" spans="1:5" ht="15" customHeight="1" x14ac:dyDescent="0.25">
      <c r="A1061">
        <v>683</v>
      </c>
      <c r="B1061" t="s">
        <v>137</v>
      </c>
      <c r="C1061">
        <v>831</v>
      </c>
      <c r="D1061" t="s">
        <v>156</v>
      </c>
      <c r="E1061" s="6">
        <v>7.85</v>
      </c>
    </row>
    <row r="1062" spans="1:5" ht="15" customHeight="1" x14ac:dyDescent="0.25">
      <c r="A1062">
        <v>683</v>
      </c>
      <c r="B1062" t="s">
        <v>137</v>
      </c>
      <c r="C1062">
        <v>832</v>
      </c>
      <c r="D1062" t="s">
        <v>157</v>
      </c>
      <c r="E1062" s="6">
        <v>3.78</v>
      </c>
    </row>
    <row r="1063" spans="1:5" ht="15" customHeight="1" x14ac:dyDescent="0.25">
      <c r="A1063">
        <v>683</v>
      </c>
      <c r="B1063" t="s">
        <v>137</v>
      </c>
      <c r="C1063">
        <v>833</v>
      </c>
      <c r="D1063" t="s">
        <v>158</v>
      </c>
      <c r="E1063" s="6">
        <v>2.44</v>
      </c>
    </row>
    <row r="1064" spans="1:5" ht="15" customHeight="1" x14ac:dyDescent="0.25">
      <c r="A1064">
        <v>683</v>
      </c>
      <c r="B1064" t="s">
        <v>137</v>
      </c>
      <c r="C1064">
        <v>840</v>
      </c>
      <c r="D1064" t="s">
        <v>159</v>
      </c>
      <c r="E1064" s="6">
        <v>5.95</v>
      </c>
    </row>
    <row r="1065" spans="1:5" ht="15" customHeight="1" x14ac:dyDescent="0.25">
      <c r="A1065">
        <v>683</v>
      </c>
      <c r="B1065" t="s">
        <v>137</v>
      </c>
      <c r="C1065">
        <v>841</v>
      </c>
      <c r="D1065" t="s">
        <v>160</v>
      </c>
      <c r="E1065" s="6">
        <v>1.83</v>
      </c>
    </row>
    <row r="1066" spans="1:5" ht="15" customHeight="1" x14ac:dyDescent="0.25">
      <c r="A1066">
        <v>683</v>
      </c>
      <c r="B1066" t="s">
        <v>137</v>
      </c>
      <c r="C1066">
        <v>842</v>
      </c>
      <c r="D1066" t="s">
        <v>161</v>
      </c>
      <c r="E1066" s="6">
        <v>3.58</v>
      </c>
    </row>
    <row r="1067" spans="1:5" ht="15" customHeight="1" x14ac:dyDescent="0.25">
      <c r="A1067">
        <v>683</v>
      </c>
      <c r="B1067" t="s">
        <v>137</v>
      </c>
      <c r="C1067">
        <v>847</v>
      </c>
      <c r="D1067" t="s">
        <v>162</v>
      </c>
      <c r="E1067" s="6">
        <v>1.87</v>
      </c>
    </row>
    <row r="1068" spans="1:5" ht="15" customHeight="1" x14ac:dyDescent="0.25">
      <c r="A1068">
        <v>683</v>
      </c>
      <c r="B1068" t="s">
        <v>137</v>
      </c>
      <c r="C1068">
        <v>877</v>
      </c>
      <c r="D1068" t="s">
        <v>163</v>
      </c>
      <c r="E1068" s="6">
        <v>21.42</v>
      </c>
    </row>
    <row r="1069" spans="1:5" ht="15" customHeight="1" x14ac:dyDescent="0.25">
      <c r="A1069">
        <v>683</v>
      </c>
      <c r="B1069" t="s">
        <v>137</v>
      </c>
      <c r="C1069">
        <v>898</v>
      </c>
      <c r="D1069" t="s">
        <v>164</v>
      </c>
      <c r="E1069" s="6">
        <v>4.6100000000000003</v>
      </c>
    </row>
    <row r="1070" spans="1:5" ht="15" customHeight="1" x14ac:dyDescent="0.25">
      <c r="A1070">
        <v>683</v>
      </c>
      <c r="B1070" t="s">
        <v>137</v>
      </c>
      <c r="C1070">
        <v>899</v>
      </c>
      <c r="D1070" t="s">
        <v>165</v>
      </c>
      <c r="E1070" s="6">
        <v>4.05</v>
      </c>
    </row>
    <row r="1071" spans="1:5" ht="15" customHeight="1" x14ac:dyDescent="0.25">
      <c r="A1071">
        <v>683</v>
      </c>
      <c r="B1071" t="s">
        <v>137</v>
      </c>
      <c r="C1071">
        <v>1912</v>
      </c>
      <c r="D1071" t="s">
        <v>166</v>
      </c>
      <c r="E1071" s="6">
        <v>26.38</v>
      </c>
    </row>
    <row r="1072" spans="1:5" ht="15" customHeight="1" x14ac:dyDescent="0.25">
      <c r="A1072">
        <v>683</v>
      </c>
      <c r="B1072" t="s">
        <v>137</v>
      </c>
      <c r="C1072">
        <v>9999</v>
      </c>
      <c r="D1072" t="s">
        <v>117</v>
      </c>
      <c r="E1072" s="6">
        <v>0.53</v>
      </c>
    </row>
    <row r="1073" spans="1:5" ht="15" customHeight="1" x14ac:dyDescent="0.25">
      <c r="A1073">
        <v>684</v>
      </c>
      <c r="B1073" t="s">
        <v>138</v>
      </c>
      <c r="C1073">
        <v>1</v>
      </c>
      <c r="D1073" t="s">
        <v>117</v>
      </c>
      <c r="E1073" s="6">
        <v>1.35</v>
      </c>
    </row>
    <row r="1074" spans="1:5" ht="15" customHeight="1" x14ac:dyDescent="0.25">
      <c r="A1074">
        <v>684</v>
      </c>
      <c r="B1074" t="s">
        <v>138</v>
      </c>
      <c r="C1074">
        <v>3</v>
      </c>
      <c r="D1074" t="s">
        <v>118</v>
      </c>
      <c r="E1074" s="6">
        <v>57.5</v>
      </c>
    </row>
    <row r="1075" spans="1:5" ht="15" customHeight="1" x14ac:dyDescent="0.25">
      <c r="A1075">
        <v>684</v>
      </c>
      <c r="B1075" t="s">
        <v>138</v>
      </c>
      <c r="C1075">
        <v>5</v>
      </c>
      <c r="D1075" t="s">
        <v>119</v>
      </c>
      <c r="E1075" s="6">
        <v>104.96</v>
      </c>
    </row>
    <row r="1076" spans="1:5" ht="15" customHeight="1" x14ac:dyDescent="0.25">
      <c r="A1076">
        <v>684</v>
      </c>
      <c r="B1076" t="s">
        <v>138</v>
      </c>
      <c r="C1076">
        <v>11</v>
      </c>
      <c r="D1076" t="s">
        <v>120</v>
      </c>
      <c r="E1076" s="6">
        <v>84.21</v>
      </c>
    </row>
    <row r="1077" spans="1:5" ht="15" customHeight="1" x14ac:dyDescent="0.25">
      <c r="A1077">
        <v>684</v>
      </c>
      <c r="B1077" t="s">
        <v>138</v>
      </c>
      <c r="C1077">
        <v>12</v>
      </c>
      <c r="D1077" t="s">
        <v>121</v>
      </c>
      <c r="E1077" s="6">
        <v>55.12</v>
      </c>
    </row>
    <row r="1078" spans="1:5" ht="15" customHeight="1" x14ac:dyDescent="0.25">
      <c r="A1078">
        <v>684</v>
      </c>
      <c r="B1078" t="s">
        <v>138</v>
      </c>
      <c r="C1078">
        <v>29</v>
      </c>
      <c r="D1078" t="s">
        <v>122</v>
      </c>
      <c r="E1078" s="6">
        <v>120.96</v>
      </c>
    </row>
    <row r="1079" spans="1:5" ht="15" customHeight="1" x14ac:dyDescent="0.25">
      <c r="A1079">
        <v>684</v>
      </c>
      <c r="B1079" t="s">
        <v>138</v>
      </c>
      <c r="C1079">
        <v>70</v>
      </c>
      <c r="D1079" t="s">
        <v>123</v>
      </c>
      <c r="E1079" s="6">
        <v>82.39</v>
      </c>
    </row>
    <row r="1080" spans="1:5" ht="15" customHeight="1" x14ac:dyDescent="0.25">
      <c r="A1080">
        <v>684</v>
      </c>
      <c r="B1080" t="s">
        <v>138</v>
      </c>
      <c r="C1080">
        <v>71</v>
      </c>
      <c r="D1080" t="s">
        <v>124</v>
      </c>
      <c r="E1080" s="6">
        <v>127</v>
      </c>
    </row>
    <row r="1081" spans="1:5" ht="15" customHeight="1" x14ac:dyDescent="0.25">
      <c r="A1081">
        <v>684</v>
      </c>
      <c r="B1081" t="s">
        <v>138</v>
      </c>
      <c r="C1081">
        <v>384</v>
      </c>
      <c r="D1081" t="s">
        <v>125</v>
      </c>
      <c r="E1081" s="6">
        <v>1.94</v>
      </c>
    </row>
    <row r="1082" spans="1:5" ht="15" customHeight="1" x14ac:dyDescent="0.25">
      <c r="A1082">
        <v>684</v>
      </c>
      <c r="B1082" t="s">
        <v>138</v>
      </c>
      <c r="C1082">
        <v>429</v>
      </c>
      <c r="D1082" t="s">
        <v>126</v>
      </c>
      <c r="E1082" s="6">
        <v>70.91</v>
      </c>
    </row>
    <row r="1083" spans="1:5" ht="15" customHeight="1" x14ac:dyDescent="0.25">
      <c r="A1083">
        <v>684</v>
      </c>
      <c r="B1083" t="s">
        <v>138</v>
      </c>
      <c r="C1083">
        <v>486</v>
      </c>
      <c r="D1083" t="s">
        <v>127</v>
      </c>
      <c r="E1083" s="6">
        <v>66.52</v>
      </c>
    </row>
    <row r="1084" spans="1:5" ht="15" customHeight="1" x14ac:dyDescent="0.25">
      <c r="A1084">
        <v>684</v>
      </c>
      <c r="B1084" t="s">
        <v>138</v>
      </c>
      <c r="C1084">
        <v>546</v>
      </c>
      <c r="D1084" t="s">
        <v>128</v>
      </c>
      <c r="E1084" s="6">
        <v>71.739999999999995</v>
      </c>
    </row>
    <row r="1085" spans="1:5" ht="15" customHeight="1" x14ac:dyDescent="0.25">
      <c r="A1085">
        <v>684</v>
      </c>
      <c r="B1085" t="s">
        <v>138</v>
      </c>
      <c r="C1085">
        <v>599</v>
      </c>
      <c r="D1085" t="s">
        <v>129</v>
      </c>
      <c r="E1085" s="6">
        <v>4.75</v>
      </c>
    </row>
    <row r="1086" spans="1:5" ht="15" customHeight="1" x14ac:dyDescent="0.25">
      <c r="A1086">
        <v>684</v>
      </c>
      <c r="B1086" t="s">
        <v>138</v>
      </c>
      <c r="C1086">
        <v>620</v>
      </c>
      <c r="D1086" t="s">
        <v>130</v>
      </c>
      <c r="E1086" s="6">
        <v>42.54</v>
      </c>
    </row>
    <row r="1087" spans="1:5" ht="15" customHeight="1" x14ac:dyDescent="0.25">
      <c r="A1087">
        <v>684</v>
      </c>
      <c r="B1087" t="s">
        <v>138</v>
      </c>
      <c r="C1087">
        <v>626</v>
      </c>
      <c r="D1087" t="s">
        <v>131</v>
      </c>
      <c r="E1087" s="6">
        <v>2.17</v>
      </c>
    </row>
    <row r="1088" spans="1:5" ht="15" customHeight="1" x14ac:dyDescent="0.25">
      <c r="A1088">
        <v>684</v>
      </c>
      <c r="B1088" t="s">
        <v>138</v>
      </c>
      <c r="C1088">
        <v>627</v>
      </c>
      <c r="D1088" t="s">
        <v>132</v>
      </c>
      <c r="E1088" s="6">
        <v>6.29</v>
      </c>
    </row>
    <row r="1089" spans="1:5" ht="15" customHeight="1" x14ac:dyDescent="0.25">
      <c r="A1089">
        <v>684</v>
      </c>
      <c r="B1089" t="s">
        <v>138</v>
      </c>
      <c r="C1089">
        <v>651</v>
      </c>
      <c r="D1089" t="s">
        <v>133</v>
      </c>
      <c r="E1089" s="6">
        <v>3.45</v>
      </c>
    </row>
    <row r="1090" spans="1:5" ht="15" customHeight="1" x14ac:dyDescent="0.25">
      <c r="A1090">
        <v>684</v>
      </c>
      <c r="B1090" t="s">
        <v>138</v>
      </c>
      <c r="C1090">
        <v>668</v>
      </c>
      <c r="D1090" t="s">
        <v>134</v>
      </c>
      <c r="E1090" s="6">
        <v>2.67</v>
      </c>
    </row>
    <row r="1091" spans="1:5" ht="15" customHeight="1" x14ac:dyDescent="0.25">
      <c r="A1091">
        <v>684</v>
      </c>
      <c r="B1091" t="s">
        <v>138</v>
      </c>
      <c r="C1091">
        <v>681</v>
      </c>
      <c r="D1091" t="s">
        <v>135</v>
      </c>
      <c r="E1091" s="6">
        <v>3.24</v>
      </c>
    </row>
    <row r="1092" spans="1:5" ht="15" customHeight="1" x14ac:dyDescent="0.25">
      <c r="A1092">
        <v>684</v>
      </c>
      <c r="B1092" t="s">
        <v>138</v>
      </c>
      <c r="C1092">
        <v>682</v>
      </c>
      <c r="D1092" t="s">
        <v>136</v>
      </c>
      <c r="E1092" s="6">
        <v>1.9</v>
      </c>
    </row>
    <row r="1093" spans="1:5" ht="15" customHeight="1" x14ac:dyDescent="0.25">
      <c r="A1093">
        <v>684</v>
      </c>
      <c r="B1093" t="s">
        <v>138</v>
      </c>
      <c r="C1093">
        <v>683</v>
      </c>
      <c r="D1093" t="s">
        <v>137</v>
      </c>
      <c r="E1093" s="6">
        <v>1.84</v>
      </c>
    </row>
    <row r="1094" spans="1:5" ht="15" customHeight="1" x14ac:dyDescent="0.25">
      <c r="A1094">
        <v>684</v>
      </c>
      <c r="B1094" t="s">
        <v>138</v>
      </c>
      <c r="C1094">
        <v>684</v>
      </c>
      <c r="D1094" t="s">
        <v>138</v>
      </c>
      <c r="E1094" s="6">
        <v>0</v>
      </c>
    </row>
    <row r="1095" spans="1:5" ht="15" customHeight="1" x14ac:dyDescent="0.25">
      <c r="A1095">
        <v>684</v>
      </c>
      <c r="B1095" t="s">
        <v>138</v>
      </c>
      <c r="C1095">
        <v>685</v>
      </c>
      <c r="D1095" t="s">
        <v>139</v>
      </c>
      <c r="E1095" s="6">
        <v>1.61</v>
      </c>
    </row>
    <row r="1096" spans="1:5" ht="15" customHeight="1" x14ac:dyDescent="0.25">
      <c r="A1096">
        <v>684</v>
      </c>
      <c r="B1096" t="s">
        <v>138</v>
      </c>
      <c r="C1096">
        <v>691</v>
      </c>
      <c r="D1096" t="s">
        <v>140</v>
      </c>
      <c r="E1096" s="6">
        <v>2.98</v>
      </c>
    </row>
    <row r="1097" spans="1:5" ht="15" customHeight="1" x14ac:dyDescent="0.25">
      <c r="A1097">
        <v>684</v>
      </c>
      <c r="B1097" t="s">
        <v>138</v>
      </c>
      <c r="C1097">
        <v>706</v>
      </c>
      <c r="D1097" t="s">
        <v>141</v>
      </c>
      <c r="E1097" s="6">
        <v>3.07</v>
      </c>
    </row>
    <row r="1098" spans="1:5" ht="15" customHeight="1" x14ac:dyDescent="0.25">
      <c r="A1098">
        <v>684</v>
      </c>
      <c r="B1098" t="s">
        <v>138</v>
      </c>
      <c r="C1098">
        <v>713</v>
      </c>
      <c r="D1098" t="s">
        <v>142</v>
      </c>
      <c r="E1098" s="6">
        <v>1.74</v>
      </c>
    </row>
    <row r="1099" spans="1:5" ht="15" customHeight="1" x14ac:dyDescent="0.25">
      <c r="A1099">
        <v>684</v>
      </c>
      <c r="B1099" t="s">
        <v>138</v>
      </c>
      <c r="C1099">
        <v>718</v>
      </c>
      <c r="D1099" t="s">
        <v>143</v>
      </c>
      <c r="E1099" s="6">
        <v>4.37</v>
      </c>
    </row>
    <row r="1100" spans="1:5" ht="15" customHeight="1" x14ac:dyDescent="0.25">
      <c r="A1100">
        <v>684</v>
      </c>
      <c r="B1100" t="s">
        <v>138</v>
      </c>
      <c r="C1100">
        <v>731</v>
      </c>
      <c r="D1100" t="s">
        <v>144</v>
      </c>
      <c r="E1100" s="6">
        <v>29.36</v>
      </c>
    </row>
    <row r="1101" spans="1:5" ht="15" customHeight="1" x14ac:dyDescent="0.25">
      <c r="A1101">
        <v>684</v>
      </c>
      <c r="B1101" t="s">
        <v>138</v>
      </c>
      <c r="C1101">
        <v>743</v>
      </c>
      <c r="D1101" t="s">
        <v>145</v>
      </c>
      <c r="E1101" s="6">
        <v>13.67</v>
      </c>
    </row>
    <row r="1102" spans="1:5" ht="15" customHeight="1" x14ac:dyDescent="0.25">
      <c r="A1102">
        <v>684</v>
      </c>
      <c r="B1102" t="s">
        <v>138</v>
      </c>
      <c r="C1102">
        <v>760</v>
      </c>
      <c r="D1102" t="s">
        <v>146</v>
      </c>
      <c r="E1102" s="6">
        <v>2.08</v>
      </c>
    </row>
    <row r="1103" spans="1:5" ht="15" customHeight="1" x14ac:dyDescent="0.25">
      <c r="A1103">
        <v>684</v>
      </c>
      <c r="B1103" t="s">
        <v>138</v>
      </c>
      <c r="C1103">
        <v>765</v>
      </c>
      <c r="D1103" t="s">
        <v>147</v>
      </c>
      <c r="E1103" s="6">
        <v>3.11</v>
      </c>
    </row>
    <row r="1104" spans="1:5" ht="15" customHeight="1" x14ac:dyDescent="0.25">
      <c r="A1104">
        <v>684</v>
      </c>
      <c r="B1104" t="s">
        <v>138</v>
      </c>
      <c r="C1104">
        <v>766</v>
      </c>
      <c r="D1104" t="s">
        <v>148</v>
      </c>
      <c r="E1104" s="6">
        <v>3.11</v>
      </c>
    </row>
    <row r="1105" spans="1:5" ht="15" customHeight="1" x14ac:dyDescent="0.25">
      <c r="A1105">
        <v>684</v>
      </c>
      <c r="B1105" t="s">
        <v>138</v>
      </c>
      <c r="C1105">
        <v>767</v>
      </c>
      <c r="D1105" t="s">
        <v>149</v>
      </c>
      <c r="E1105" s="6">
        <v>7.35</v>
      </c>
    </row>
    <row r="1106" spans="1:5" ht="15" customHeight="1" x14ac:dyDescent="0.25">
      <c r="A1106">
        <v>684</v>
      </c>
      <c r="B1106" t="s">
        <v>138</v>
      </c>
      <c r="C1106">
        <v>795</v>
      </c>
      <c r="D1106" t="s">
        <v>150</v>
      </c>
      <c r="E1106" s="6">
        <v>1.04</v>
      </c>
    </row>
    <row r="1107" spans="1:5" ht="15" customHeight="1" x14ac:dyDescent="0.25">
      <c r="A1107">
        <v>684</v>
      </c>
      <c r="B1107" t="s">
        <v>138</v>
      </c>
      <c r="C1107">
        <v>798</v>
      </c>
      <c r="D1107" t="s">
        <v>151</v>
      </c>
      <c r="E1107" s="6">
        <v>3.97</v>
      </c>
    </row>
    <row r="1108" spans="1:5" ht="15" customHeight="1" x14ac:dyDescent="0.25">
      <c r="A1108">
        <v>684</v>
      </c>
      <c r="B1108" t="s">
        <v>138</v>
      </c>
      <c r="C1108">
        <v>799</v>
      </c>
      <c r="D1108" t="s">
        <v>152</v>
      </c>
      <c r="E1108" s="6">
        <v>2.0099999999999998</v>
      </c>
    </row>
    <row r="1109" spans="1:5" ht="15" customHeight="1" x14ac:dyDescent="0.25">
      <c r="A1109">
        <v>684</v>
      </c>
      <c r="B1109" t="s">
        <v>138</v>
      </c>
      <c r="C1109">
        <v>811</v>
      </c>
      <c r="D1109" t="s">
        <v>153</v>
      </c>
      <c r="E1109" s="6">
        <v>6.83</v>
      </c>
    </row>
    <row r="1110" spans="1:5" ht="15" customHeight="1" x14ac:dyDescent="0.25">
      <c r="A1110">
        <v>684</v>
      </c>
      <c r="B1110" t="s">
        <v>138</v>
      </c>
      <c r="C1110">
        <v>820</v>
      </c>
      <c r="D1110" t="s">
        <v>154</v>
      </c>
      <c r="E1110" s="6">
        <v>2.72</v>
      </c>
    </row>
    <row r="1111" spans="1:5" ht="15" customHeight="1" x14ac:dyDescent="0.25">
      <c r="A1111">
        <v>684</v>
      </c>
      <c r="B1111" t="s">
        <v>138</v>
      </c>
      <c r="C1111">
        <v>830</v>
      </c>
      <c r="D1111" t="s">
        <v>155</v>
      </c>
      <c r="E1111" s="6">
        <v>3.17</v>
      </c>
    </row>
    <row r="1112" spans="1:5" ht="15" customHeight="1" x14ac:dyDescent="0.25">
      <c r="A1112">
        <v>684</v>
      </c>
      <c r="B1112" t="s">
        <v>138</v>
      </c>
      <c r="C1112">
        <v>831</v>
      </c>
      <c r="D1112" t="s">
        <v>156</v>
      </c>
      <c r="E1112" s="6">
        <v>6.75</v>
      </c>
    </row>
    <row r="1113" spans="1:5" ht="15" customHeight="1" x14ac:dyDescent="0.25">
      <c r="A1113">
        <v>684</v>
      </c>
      <c r="B1113" t="s">
        <v>138</v>
      </c>
      <c r="C1113">
        <v>832</v>
      </c>
      <c r="D1113" t="s">
        <v>157</v>
      </c>
      <c r="E1113" s="6">
        <v>2.79</v>
      </c>
    </row>
    <row r="1114" spans="1:5" ht="15" customHeight="1" x14ac:dyDescent="0.25">
      <c r="A1114">
        <v>684</v>
      </c>
      <c r="B1114" t="s">
        <v>138</v>
      </c>
      <c r="C1114">
        <v>833</v>
      </c>
      <c r="D1114" t="s">
        <v>158</v>
      </c>
      <c r="E1114" s="6">
        <v>0.79</v>
      </c>
    </row>
    <row r="1115" spans="1:5" ht="15" customHeight="1" x14ac:dyDescent="0.25">
      <c r="A1115">
        <v>684</v>
      </c>
      <c r="B1115" t="s">
        <v>138</v>
      </c>
      <c r="C1115">
        <v>840</v>
      </c>
      <c r="D1115" t="s">
        <v>159</v>
      </c>
      <c r="E1115" s="6">
        <v>4.67</v>
      </c>
    </row>
    <row r="1116" spans="1:5" ht="15" customHeight="1" x14ac:dyDescent="0.25">
      <c r="A1116">
        <v>684</v>
      </c>
      <c r="B1116" t="s">
        <v>138</v>
      </c>
      <c r="C1116">
        <v>841</v>
      </c>
      <c r="D1116" t="s">
        <v>160</v>
      </c>
      <c r="E1116" s="6">
        <v>2.38</v>
      </c>
    </row>
    <row r="1117" spans="1:5" ht="15" customHeight="1" x14ac:dyDescent="0.25">
      <c r="A1117">
        <v>684</v>
      </c>
      <c r="B1117" t="s">
        <v>138</v>
      </c>
      <c r="C1117">
        <v>842</v>
      </c>
      <c r="D1117" t="s">
        <v>161</v>
      </c>
      <c r="E1117" s="6">
        <v>3.94</v>
      </c>
    </row>
    <row r="1118" spans="1:5" ht="15" customHeight="1" x14ac:dyDescent="0.25">
      <c r="A1118">
        <v>684</v>
      </c>
      <c r="B1118" t="s">
        <v>138</v>
      </c>
      <c r="C1118">
        <v>847</v>
      </c>
      <c r="D1118" t="s">
        <v>162</v>
      </c>
      <c r="E1118" s="6">
        <v>2.77</v>
      </c>
    </row>
    <row r="1119" spans="1:5" ht="15" customHeight="1" x14ac:dyDescent="0.25">
      <c r="A1119">
        <v>684</v>
      </c>
      <c r="B1119" t="s">
        <v>138</v>
      </c>
      <c r="C1119">
        <v>877</v>
      </c>
      <c r="D1119" t="s">
        <v>163</v>
      </c>
      <c r="E1119" s="6">
        <v>19.87</v>
      </c>
    </row>
    <row r="1120" spans="1:5" ht="15" customHeight="1" x14ac:dyDescent="0.25">
      <c r="A1120">
        <v>684</v>
      </c>
      <c r="B1120" t="s">
        <v>138</v>
      </c>
      <c r="C1120">
        <v>898</v>
      </c>
      <c r="D1120" t="s">
        <v>164</v>
      </c>
      <c r="E1120" s="6">
        <v>3.2</v>
      </c>
    </row>
    <row r="1121" spans="1:5" ht="15" customHeight="1" x14ac:dyDescent="0.25">
      <c r="A1121">
        <v>684</v>
      </c>
      <c r="B1121" t="s">
        <v>138</v>
      </c>
      <c r="C1121">
        <v>899</v>
      </c>
      <c r="D1121" t="s">
        <v>165</v>
      </c>
      <c r="E1121" s="6">
        <v>5.22</v>
      </c>
    </row>
    <row r="1122" spans="1:5" ht="15" customHeight="1" x14ac:dyDescent="0.25">
      <c r="A1122">
        <v>684</v>
      </c>
      <c r="B1122" t="s">
        <v>138</v>
      </c>
      <c r="C1122">
        <v>1912</v>
      </c>
      <c r="D1122" t="s">
        <v>166</v>
      </c>
      <c r="E1122" s="6">
        <v>24.99</v>
      </c>
    </row>
    <row r="1123" spans="1:5" ht="15" customHeight="1" x14ac:dyDescent="0.25">
      <c r="A1123">
        <v>684</v>
      </c>
      <c r="B1123" t="s">
        <v>138</v>
      </c>
      <c r="C1123">
        <v>9999</v>
      </c>
      <c r="D1123" t="s">
        <v>117</v>
      </c>
      <c r="E1123" s="6">
        <v>1.35</v>
      </c>
    </row>
    <row r="1124" spans="1:5" ht="15" customHeight="1" x14ac:dyDescent="0.25">
      <c r="A1124">
        <v>685</v>
      </c>
      <c r="B1124" t="s">
        <v>139</v>
      </c>
      <c r="C1124">
        <v>1</v>
      </c>
      <c r="D1124" t="s">
        <v>117</v>
      </c>
      <c r="E1124" s="6">
        <v>1.84</v>
      </c>
    </row>
    <row r="1125" spans="1:5" ht="15" customHeight="1" x14ac:dyDescent="0.25">
      <c r="A1125">
        <v>685</v>
      </c>
      <c r="B1125" t="s">
        <v>139</v>
      </c>
      <c r="C1125">
        <v>3</v>
      </c>
      <c r="D1125" t="s">
        <v>118</v>
      </c>
      <c r="E1125" s="6">
        <v>58.87</v>
      </c>
    </row>
    <row r="1126" spans="1:5" ht="15" customHeight="1" x14ac:dyDescent="0.25">
      <c r="A1126">
        <v>685</v>
      </c>
      <c r="B1126" t="s">
        <v>139</v>
      </c>
      <c r="C1126">
        <v>5</v>
      </c>
      <c r="D1126" t="s">
        <v>119</v>
      </c>
      <c r="E1126" s="6">
        <v>106.39</v>
      </c>
    </row>
    <row r="1127" spans="1:5" ht="15" customHeight="1" x14ac:dyDescent="0.25">
      <c r="A1127">
        <v>685</v>
      </c>
      <c r="B1127" t="s">
        <v>139</v>
      </c>
      <c r="C1127">
        <v>11</v>
      </c>
      <c r="D1127" t="s">
        <v>120</v>
      </c>
      <c r="E1127" s="6">
        <v>84.96</v>
      </c>
    </row>
    <row r="1128" spans="1:5" ht="15" customHeight="1" x14ac:dyDescent="0.25">
      <c r="A1128">
        <v>685</v>
      </c>
      <c r="B1128" t="s">
        <v>139</v>
      </c>
      <c r="C1128">
        <v>12</v>
      </c>
      <c r="D1128" t="s">
        <v>121</v>
      </c>
      <c r="E1128" s="6">
        <v>56.57</v>
      </c>
    </row>
    <row r="1129" spans="1:5" ht="15" customHeight="1" x14ac:dyDescent="0.25">
      <c r="A1129">
        <v>685</v>
      </c>
      <c r="B1129" t="s">
        <v>139</v>
      </c>
      <c r="C1129">
        <v>29</v>
      </c>
      <c r="D1129" t="s">
        <v>122</v>
      </c>
      <c r="E1129" s="6">
        <v>119.37</v>
      </c>
    </row>
    <row r="1130" spans="1:5" ht="15" customHeight="1" x14ac:dyDescent="0.25">
      <c r="A1130">
        <v>685</v>
      </c>
      <c r="B1130" t="s">
        <v>139</v>
      </c>
      <c r="C1130">
        <v>70</v>
      </c>
      <c r="D1130" t="s">
        <v>123</v>
      </c>
      <c r="E1130" s="6">
        <v>83.35</v>
      </c>
    </row>
    <row r="1131" spans="1:5" ht="15" customHeight="1" x14ac:dyDescent="0.25">
      <c r="A1131">
        <v>685</v>
      </c>
      <c r="B1131" t="s">
        <v>139</v>
      </c>
      <c r="C1131">
        <v>71</v>
      </c>
      <c r="D1131" t="s">
        <v>124</v>
      </c>
      <c r="E1131" s="6">
        <v>126.91</v>
      </c>
    </row>
    <row r="1132" spans="1:5" ht="15" customHeight="1" x14ac:dyDescent="0.25">
      <c r="A1132">
        <v>685</v>
      </c>
      <c r="B1132" t="s">
        <v>139</v>
      </c>
      <c r="C1132">
        <v>384</v>
      </c>
      <c r="D1132" t="s">
        <v>125</v>
      </c>
      <c r="E1132" s="6">
        <v>1.63</v>
      </c>
    </row>
    <row r="1133" spans="1:5" ht="15" customHeight="1" x14ac:dyDescent="0.25">
      <c r="A1133">
        <v>685</v>
      </c>
      <c r="B1133" t="s">
        <v>139</v>
      </c>
      <c r="C1133">
        <v>429</v>
      </c>
      <c r="D1133" t="s">
        <v>126</v>
      </c>
      <c r="E1133" s="6">
        <v>70.83</v>
      </c>
    </row>
    <row r="1134" spans="1:5" ht="15" customHeight="1" x14ac:dyDescent="0.25">
      <c r="A1134">
        <v>685</v>
      </c>
      <c r="B1134" t="s">
        <v>139</v>
      </c>
      <c r="C1134">
        <v>486</v>
      </c>
      <c r="D1134" t="s">
        <v>127</v>
      </c>
      <c r="E1134" s="6">
        <v>68.099999999999994</v>
      </c>
    </row>
    <row r="1135" spans="1:5" ht="15" customHeight="1" x14ac:dyDescent="0.25">
      <c r="A1135">
        <v>685</v>
      </c>
      <c r="B1135" t="s">
        <v>139</v>
      </c>
      <c r="C1135">
        <v>546</v>
      </c>
      <c r="D1135" t="s">
        <v>128</v>
      </c>
      <c r="E1135" s="6">
        <v>73.27</v>
      </c>
    </row>
    <row r="1136" spans="1:5" ht="15" customHeight="1" x14ac:dyDescent="0.25">
      <c r="A1136">
        <v>685</v>
      </c>
      <c r="B1136" t="s">
        <v>139</v>
      </c>
      <c r="C1136">
        <v>599</v>
      </c>
      <c r="D1136" t="s">
        <v>129</v>
      </c>
      <c r="E1136" s="6">
        <v>6.36</v>
      </c>
    </row>
    <row r="1137" spans="1:5" ht="15" customHeight="1" x14ac:dyDescent="0.25">
      <c r="A1137">
        <v>685</v>
      </c>
      <c r="B1137" t="s">
        <v>139</v>
      </c>
      <c r="C1137">
        <v>620</v>
      </c>
      <c r="D1137" t="s">
        <v>130</v>
      </c>
      <c r="E1137" s="6">
        <v>41.3</v>
      </c>
    </row>
    <row r="1138" spans="1:5" ht="15" customHeight="1" x14ac:dyDescent="0.25">
      <c r="A1138">
        <v>685</v>
      </c>
      <c r="B1138" t="s">
        <v>139</v>
      </c>
      <c r="C1138">
        <v>626</v>
      </c>
      <c r="D1138" t="s">
        <v>131</v>
      </c>
      <c r="E1138" s="6">
        <v>3.26</v>
      </c>
    </row>
    <row r="1139" spans="1:5" ht="15" customHeight="1" x14ac:dyDescent="0.25">
      <c r="A1139">
        <v>685</v>
      </c>
      <c r="B1139" t="s">
        <v>139</v>
      </c>
      <c r="C1139">
        <v>627</v>
      </c>
      <c r="D1139" t="s">
        <v>132</v>
      </c>
      <c r="E1139" s="6">
        <v>5.78</v>
      </c>
    </row>
    <row r="1140" spans="1:5" ht="15" customHeight="1" x14ac:dyDescent="0.25">
      <c r="A1140">
        <v>685</v>
      </c>
      <c r="B1140" t="s">
        <v>139</v>
      </c>
      <c r="C1140">
        <v>651</v>
      </c>
      <c r="D1140" t="s">
        <v>133</v>
      </c>
      <c r="E1140" s="6">
        <v>2.44</v>
      </c>
    </row>
    <row r="1141" spans="1:5" ht="15" customHeight="1" x14ac:dyDescent="0.25">
      <c r="A1141">
        <v>685</v>
      </c>
      <c r="B1141" t="s">
        <v>139</v>
      </c>
      <c r="C1141">
        <v>668</v>
      </c>
      <c r="D1141" t="s">
        <v>134</v>
      </c>
      <c r="E1141" s="6">
        <v>4.28</v>
      </c>
    </row>
    <row r="1142" spans="1:5" ht="15" customHeight="1" x14ac:dyDescent="0.25">
      <c r="A1142">
        <v>685</v>
      </c>
      <c r="B1142" t="s">
        <v>139</v>
      </c>
      <c r="C1142">
        <v>681</v>
      </c>
      <c r="D1142" t="s">
        <v>135</v>
      </c>
      <c r="E1142" s="6">
        <v>1.63</v>
      </c>
    </row>
    <row r="1143" spans="1:5" ht="15" customHeight="1" x14ac:dyDescent="0.25">
      <c r="A1143">
        <v>685</v>
      </c>
      <c r="B1143" t="s">
        <v>139</v>
      </c>
      <c r="C1143">
        <v>682</v>
      </c>
      <c r="D1143" t="s">
        <v>136</v>
      </c>
      <c r="E1143" s="6">
        <v>2.4900000000000002</v>
      </c>
    </row>
    <row r="1144" spans="1:5" ht="15" customHeight="1" x14ac:dyDescent="0.25">
      <c r="A1144">
        <v>685</v>
      </c>
      <c r="B1144" t="s">
        <v>139</v>
      </c>
      <c r="C1144">
        <v>683</v>
      </c>
      <c r="D1144" t="s">
        <v>137</v>
      </c>
      <c r="E1144" s="6">
        <v>1.99</v>
      </c>
    </row>
    <row r="1145" spans="1:5" ht="15" customHeight="1" x14ac:dyDescent="0.25">
      <c r="A1145">
        <v>685</v>
      </c>
      <c r="B1145" t="s">
        <v>139</v>
      </c>
      <c r="C1145">
        <v>684</v>
      </c>
      <c r="D1145" t="s">
        <v>138</v>
      </c>
      <c r="E1145" s="6">
        <v>1.61</v>
      </c>
    </row>
    <row r="1146" spans="1:5" ht="15" customHeight="1" x14ac:dyDescent="0.25">
      <c r="A1146">
        <v>685</v>
      </c>
      <c r="B1146" t="s">
        <v>139</v>
      </c>
      <c r="C1146">
        <v>685</v>
      </c>
      <c r="D1146" t="s">
        <v>139</v>
      </c>
      <c r="E1146" s="6">
        <v>0</v>
      </c>
    </row>
    <row r="1147" spans="1:5" ht="15" customHeight="1" x14ac:dyDescent="0.25">
      <c r="A1147">
        <v>685</v>
      </c>
      <c r="B1147" t="s">
        <v>139</v>
      </c>
      <c r="C1147">
        <v>691</v>
      </c>
      <c r="D1147" t="s">
        <v>140</v>
      </c>
      <c r="E1147" s="6">
        <v>1.42</v>
      </c>
    </row>
    <row r="1148" spans="1:5" ht="15" customHeight="1" x14ac:dyDescent="0.25">
      <c r="A1148">
        <v>685</v>
      </c>
      <c r="B1148" t="s">
        <v>139</v>
      </c>
      <c r="C1148">
        <v>706</v>
      </c>
      <c r="D1148" t="s">
        <v>141</v>
      </c>
      <c r="E1148" s="6">
        <v>2.25</v>
      </c>
    </row>
    <row r="1149" spans="1:5" ht="15" customHeight="1" x14ac:dyDescent="0.25">
      <c r="A1149">
        <v>685</v>
      </c>
      <c r="B1149" t="s">
        <v>139</v>
      </c>
      <c r="C1149">
        <v>713</v>
      </c>
      <c r="D1149" t="s">
        <v>142</v>
      </c>
      <c r="E1149" s="6">
        <v>3.18</v>
      </c>
    </row>
    <row r="1150" spans="1:5" ht="15" customHeight="1" x14ac:dyDescent="0.25">
      <c r="A1150">
        <v>685</v>
      </c>
      <c r="B1150" t="s">
        <v>139</v>
      </c>
      <c r="C1150">
        <v>718</v>
      </c>
      <c r="D1150" t="s">
        <v>143</v>
      </c>
      <c r="E1150" s="6">
        <v>4.41</v>
      </c>
    </row>
    <row r="1151" spans="1:5" ht="15" customHeight="1" x14ac:dyDescent="0.25">
      <c r="A1151">
        <v>685</v>
      </c>
      <c r="B1151" t="s">
        <v>139</v>
      </c>
      <c r="C1151">
        <v>731</v>
      </c>
      <c r="D1151" t="s">
        <v>144</v>
      </c>
      <c r="E1151" s="6">
        <v>30.71</v>
      </c>
    </row>
    <row r="1152" spans="1:5" ht="15" customHeight="1" x14ac:dyDescent="0.25">
      <c r="A1152">
        <v>685</v>
      </c>
      <c r="B1152" t="s">
        <v>139</v>
      </c>
      <c r="C1152">
        <v>743</v>
      </c>
      <c r="D1152" t="s">
        <v>145</v>
      </c>
      <c r="E1152" s="6">
        <v>13.14</v>
      </c>
    </row>
    <row r="1153" spans="1:5" ht="15" customHeight="1" x14ac:dyDescent="0.25">
      <c r="A1153">
        <v>685</v>
      </c>
      <c r="B1153" t="s">
        <v>139</v>
      </c>
      <c r="C1153">
        <v>760</v>
      </c>
      <c r="D1153" t="s">
        <v>146</v>
      </c>
      <c r="E1153" s="6">
        <v>0.64</v>
      </c>
    </row>
    <row r="1154" spans="1:5" ht="15" customHeight="1" x14ac:dyDescent="0.25">
      <c r="A1154">
        <v>685</v>
      </c>
      <c r="B1154" t="s">
        <v>139</v>
      </c>
      <c r="C1154">
        <v>765</v>
      </c>
      <c r="D1154" t="s">
        <v>147</v>
      </c>
      <c r="E1154" s="6">
        <v>4.2300000000000004</v>
      </c>
    </row>
    <row r="1155" spans="1:5" ht="15" customHeight="1" x14ac:dyDescent="0.25">
      <c r="A1155">
        <v>685</v>
      </c>
      <c r="B1155" t="s">
        <v>139</v>
      </c>
      <c r="C1155">
        <v>766</v>
      </c>
      <c r="D1155" t="s">
        <v>148</v>
      </c>
      <c r="E1155" s="6">
        <v>3.23</v>
      </c>
    </row>
    <row r="1156" spans="1:5" ht="15" customHeight="1" x14ac:dyDescent="0.25">
      <c r="A1156">
        <v>685</v>
      </c>
      <c r="B1156" t="s">
        <v>139</v>
      </c>
      <c r="C1156">
        <v>767</v>
      </c>
      <c r="D1156" t="s">
        <v>149</v>
      </c>
      <c r="E1156" s="6">
        <v>6.24</v>
      </c>
    </row>
    <row r="1157" spans="1:5" ht="15" customHeight="1" x14ac:dyDescent="0.25">
      <c r="A1157">
        <v>685</v>
      </c>
      <c r="B1157" t="s">
        <v>139</v>
      </c>
      <c r="C1157">
        <v>795</v>
      </c>
      <c r="D1157" t="s">
        <v>150</v>
      </c>
      <c r="E1157" s="6">
        <v>0.59</v>
      </c>
    </row>
    <row r="1158" spans="1:5" ht="15" customHeight="1" x14ac:dyDescent="0.25">
      <c r="A1158">
        <v>685</v>
      </c>
      <c r="B1158" t="s">
        <v>139</v>
      </c>
      <c r="C1158">
        <v>798</v>
      </c>
      <c r="D1158" t="s">
        <v>151</v>
      </c>
      <c r="E1158" s="6">
        <v>2.71</v>
      </c>
    </row>
    <row r="1159" spans="1:5" ht="15" customHeight="1" x14ac:dyDescent="0.25">
      <c r="A1159">
        <v>685</v>
      </c>
      <c r="B1159" t="s">
        <v>139</v>
      </c>
      <c r="C1159">
        <v>799</v>
      </c>
      <c r="D1159" t="s">
        <v>152</v>
      </c>
      <c r="E1159" s="6">
        <v>3.43</v>
      </c>
    </row>
    <row r="1160" spans="1:5" ht="15" customHeight="1" x14ac:dyDescent="0.25">
      <c r="A1160">
        <v>685</v>
      </c>
      <c r="B1160" t="s">
        <v>139</v>
      </c>
      <c r="C1160">
        <v>811</v>
      </c>
      <c r="D1160" t="s">
        <v>153</v>
      </c>
      <c r="E1160" s="6">
        <v>7.5</v>
      </c>
    </row>
    <row r="1161" spans="1:5" ht="15" customHeight="1" x14ac:dyDescent="0.25">
      <c r="A1161">
        <v>685</v>
      </c>
      <c r="B1161" t="s">
        <v>139</v>
      </c>
      <c r="C1161">
        <v>820</v>
      </c>
      <c r="D1161" t="s">
        <v>154</v>
      </c>
      <c r="E1161" s="6">
        <v>1.55</v>
      </c>
    </row>
    <row r="1162" spans="1:5" ht="15" customHeight="1" x14ac:dyDescent="0.25">
      <c r="A1162">
        <v>685</v>
      </c>
      <c r="B1162" t="s">
        <v>139</v>
      </c>
      <c r="C1162">
        <v>830</v>
      </c>
      <c r="D1162" t="s">
        <v>155</v>
      </c>
      <c r="E1162" s="6">
        <v>1.83</v>
      </c>
    </row>
    <row r="1163" spans="1:5" ht="15" customHeight="1" x14ac:dyDescent="0.25">
      <c r="A1163">
        <v>685</v>
      </c>
      <c r="B1163" t="s">
        <v>139</v>
      </c>
      <c r="C1163">
        <v>831</v>
      </c>
      <c r="D1163" t="s">
        <v>156</v>
      </c>
      <c r="E1163" s="6">
        <v>8.34</v>
      </c>
    </row>
    <row r="1164" spans="1:5" ht="15" customHeight="1" x14ac:dyDescent="0.25">
      <c r="A1164">
        <v>685</v>
      </c>
      <c r="B1164" t="s">
        <v>139</v>
      </c>
      <c r="C1164">
        <v>832</v>
      </c>
      <c r="D1164" t="s">
        <v>157</v>
      </c>
      <c r="E1164" s="6">
        <v>1.81</v>
      </c>
    </row>
    <row r="1165" spans="1:5" ht="15" customHeight="1" x14ac:dyDescent="0.25">
      <c r="A1165">
        <v>685</v>
      </c>
      <c r="B1165" t="s">
        <v>139</v>
      </c>
      <c r="C1165">
        <v>833</v>
      </c>
      <c r="D1165" t="s">
        <v>158</v>
      </c>
      <c r="E1165" s="6">
        <v>1.41</v>
      </c>
    </row>
    <row r="1166" spans="1:5" ht="15" customHeight="1" x14ac:dyDescent="0.25">
      <c r="A1166">
        <v>685</v>
      </c>
      <c r="B1166" t="s">
        <v>139</v>
      </c>
      <c r="C1166">
        <v>840</v>
      </c>
      <c r="D1166" t="s">
        <v>159</v>
      </c>
      <c r="E1166" s="6">
        <v>4.0199999999999996</v>
      </c>
    </row>
    <row r="1167" spans="1:5" ht="15" customHeight="1" x14ac:dyDescent="0.25">
      <c r="A1167">
        <v>685</v>
      </c>
      <c r="B1167" t="s">
        <v>139</v>
      </c>
      <c r="C1167">
        <v>841</v>
      </c>
      <c r="D1167" t="s">
        <v>160</v>
      </c>
      <c r="E1167" s="6">
        <v>1.03</v>
      </c>
    </row>
    <row r="1168" spans="1:5" ht="15" customHeight="1" x14ac:dyDescent="0.25">
      <c r="A1168">
        <v>685</v>
      </c>
      <c r="B1168" t="s">
        <v>139</v>
      </c>
      <c r="C1168">
        <v>842</v>
      </c>
      <c r="D1168" t="s">
        <v>161</v>
      </c>
      <c r="E1168" s="6">
        <v>5.2</v>
      </c>
    </row>
    <row r="1169" spans="1:5" ht="15" customHeight="1" x14ac:dyDescent="0.25">
      <c r="A1169">
        <v>685</v>
      </c>
      <c r="B1169" t="s">
        <v>139</v>
      </c>
      <c r="C1169">
        <v>847</v>
      </c>
      <c r="D1169" t="s">
        <v>162</v>
      </c>
      <c r="E1169" s="6">
        <v>1.53</v>
      </c>
    </row>
    <row r="1170" spans="1:5" ht="15" customHeight="1" x14ac:dyDescent="0.25">
      <c r="A1170">
        <v>685</v>
      </c>
      <c r="B1170" t="s">
        <v>139</v>
      </c>
      <c r="C1170">
        <v>877</v>
      </c>
      <c r="D1170" t="s">
        <v>163</v>
      </c>
      <c r="E1170" s="6">
        <v>21.2</v>
      </c>
    </row>
    <row r="1171" spans="1:5" ht="15" customHeight="1" x14ac:dyDescent="0.25">
      <c r="A1171">
        <v>685</v>
      </c>
      <c r="B1171" t="s">
        <v>139</v>
      </c>
      <c r="C1171">
        <v>898</v>
      </c>
      <c r="D1171" t="s">
        <v>164</v>
      </c>
      <c r="E1171" s="6">
        <v>4.75</v>
      </c>
    </row>
    <row r="1172" spans="1:5" ht="15" customHeight="1" x14ac:dyDescent="0.25">
      <c r="A1172">
        <v>685</v>
      </c>
      <c r="B1172" t="s">
        <v>139</v>
      </c>
      <c r="C1172">
        <v>899</v>
      </c>
      <c r="D1172" t="s">
        <v>165</v>
      </c>
      <c r="E1172" s="6">
        <v>6.02</v>
      </c>
    </row>
    <row r="1173" spans="1:5" ht="15" customHeight="1" x14ac:dyDescent="0.25">
      <c r="A1173">
        <v>685</v>
      </c>
      <c r="B1173" t="s">
        <v>139</v>
      </c>
      <c r="C1173">
        <v>1912</v>
      </c>
      <c r="D1173" t="s">
        <v>166</v>
      </c>
      <c r="E1173" s="6">
        <v>26.43</v>
      </c>
    </row>
    <row r="1174" spans="1:5" ht="15" customHeight="1" x14ac:dyDescent="0.25">
      <c r="A1174">
        <v>685</v>
      </c>
      <c r="B1174" t="s">
        <v>139</v>
      </c>
      <c r="C1174">
        <v>9999</v>
      </c>
      <c r="D1174" t="s">
        <v>117</v>
      </c>
      <c r="E1174" s="6">
        <v>1.84</v>
      </c>
    </row>
    <row r="1175" spans="1:5" ht="15" customHeight="1" x14ac:dyDescent="0.25">
      <c r="A1175">
        <v>691</v>
      </c>
      <c r="B1175" t="s">
        <v>140</v>
      </c>
      <c r="C1175">
        <v>1</v>
      </c>
      <c r="D1175" t="s">
        <v>117</v>
      </c>
      <c r="E1175" s="6">
        <v>3.2</v>
      </c>
    </row>
    <row r="1176" spans="1:5" ht="15" customHeight="1" x14ac:dyDescent="0.25">
      <c r="A1176">
        <v>691</v>
      </c>
      <c r="B1176" t="s">
        <v>140</v>
      </c>
      <c r="C1176">
        <v>3</v>
      </c>
      <c r="D1176" t="s">
        <v>118</v>
      </c>
      <c r="E1176" s="6">
        <v>59.71</v>
      </c>
    </row>
    <row r="1177" spans="1:5" ht="15" customHeight="1" x14ac:dyDescent="0.25">
      <c r="A1177">
        <v>691</v>
      </c>
      <c r="B1177" t="s">
        <v>140</v>
      </c>
      <c r="C1177">
        <v>5</v>
      </c>
      <c r="D1177" t="s">
        <v>119</v>
      </c>
      <c r="E1177" s="6">
        <v>107.3</v>
      </c>
    </row>
    <row r="1178" spans="1:5" ht="15" customHeight="1" x14ac:dyDescent="0.25">
      <c r="A1178">
        <v>691</v>
      </c>
      <c r="B1178" t="s">
        <v>140</v>
      </c>
      <c r="C1178">
        <v>11</v>
      </c>
      <c r="D1178" t="s">
        <v>120</v>
      </c>
      <c r="E1178" s="6">
        <v>85.1</v>
      </c>
    </row>
    <row r="1179" spans="1:5" ht="15" customHeight="1" x14ac:dyDescent="0.25">
      <c r="A1179">
        <v>691</v>
      </c>
      <c r="B1179" t="s">
        <v>140</v>
      </c>
      <c r="C1179">
        <v>12</v>
      </c>
      <c r="D1179" t="s">
        <v>121</v>
      </c>
      <c r="E1179" s="6">
        <v>57.99</v>
      </c>
    </row>
    <row r="1180" spans="1:5" ht="15" customHeight="1" x14ac:dyDescent="0.25">
      <c r="A1180">
        <v>691</v>
      </c>
      <c r="B1180" t="s">
        <v>140</v>
      </c>
      <c r="C1180">
        <v>29</v>
      </c>
      <c r="D1180" t="s">
        <v>122</v>
      </c>
      <c r="E1180" s="6">
        <v>117.99</v>
      </c>
    </row>
    <row r="1181" spans="1:5" ht="15" customHeight="1" x14ac:dyDescent="0.25">
      <c r="A1181">
        <v>691</v>
      </c>
      <c r="B1181" t="s">
        <v>140</v>
      </c>
      <c r="C1181">
        <v>70</v>
      </c>
      <c r="D1181" t="s">
        <v>123</v>
      </c>
      <c r="E1181" s="6">
        <v>84.59</v>
      </c>
    </row>
    <row r="1182" spans="1:5" ht="15" customHeight="1" x14ac:dyDescent="0.25">
      <c r="A1182">
        <v>691</v>
      </c>
      <c r="B1182" t="s">
        <v>140</v>
      </c>
      <c r="C1182">
        <v>71</v>
      </c>
      <c r="D1182" t="s">
        <v>124</v>
      </c>
      <c r="E1182" s="6">
        <v>127.41</v>
      </c>
    </row>
    <row r="1183" spans="1:5" ht="15" customHeight="1" x14ac:dyDescent="0.25">
      <c r="A1183">
        <v>691</v>
      </c>
      <c r="B1183" t="s">
        <v>140</v>
      </c>
      <c r="C1183">
        <v>384</v>
      </c>
      <c r="D1183" t="s">
        <v>125</v>
      </c>
      <c r="E1183" s="6">
        <v>2.76</v>
      </c>
    </row>
    <row r="1184" spans="1:5" ht="15" customHeight="1" x14ac:dyDescent="0.25">
      <c r="A1184">
        <v>691</v>
      </c>
      <c r="B1184" t="s">
        <v>140</v>
      </c>
      <c r="C1184">
        <v>429</v>
      </c>
      <c r="D1184" t="s">
        <v>126</v>
      </c>
      <c r="E1184" s="6">
        <v>71.349999999999994</v>
      </c>
    </row>
    <row r="1185" spans="1:5" ht="15" customHeight="1" x14ac:dyDescent="0.25">
      <c r="A1185">
        <v>691</v>
      </c>
      <c r="B1185" t="s">
        <v>140</v>
      </c>
      <c r="C1185">
        <v>486</v>
      </c>
      <c r="D1185" t="s">
        <v>127</v>
      </c>
      <c r="E1185" s="6">
        <v>69.5</v>
      </c>
    </row>
    <row r="1186" spans="1:5" ht="15" customHeight="1" x14ac:dyDescent="0.25">
      <c r="A1186">
        <v>691</v>
      </c>
      <c r="B1186" t="s">
        <v>140</v>
      </c>
      <c r="C1186">
        <v>546</v>
      </c>
      <c r="D1186" t="s">
        <v>128</v>
      </c>
      <c r="E1186" s="6">
        <v>74.349999999999994</v>
      </c>
    </row>
    <row r="1187" spans="1:5" ht="15" customHeight="1" x14ac:dyDescent="0.25">
      <c r="A1187">
        <v>691</v>
      </c>
      <c r="B1187" t="s">
        <v>140</v>
      </c>
      <c r="C1187">
        <v>599</v>
      </c>
      <c r="D1187" t="s">
        <v>129</v>
      </c>
      <c r="E1187" s="6">
        <v>7.71</v>
      </c>
    </row>
    <row r="1188" spans="1:5" ht="15" customHeight="1" x14ac:dyDescent="0.25">
      <c r="A1188">
        <v>691</v>
      </c>
      <c r="B1188" t="s">
        <v>140</v>
      </c>
      <c r="C1188">
        <v>620</v>
      </c>
      <c r="D1188" t="s">
        <v>130</v>
      </c>
      <c r="E1188" s="6">
        <v>40.68</v>
      </c>
    </row>
    <row r="1189" spans="1:5" ht="15" customHeight="1" x14ac:dyDescent="0.25">
      <c r="A1189">
        <v>691</v>
      </c>
      <c r="B1189" t="s">
        <v>140</v>
      </c>
      <c r="C1189">
        <v>626</v>
      </c>
      <c r="D1189" t="s">
        <v>131</v>
      </c>
      <c r="E1189" s="6">
        <v>4.17</v>
      </c>
    </row>
    <row r="1190" spans="1:5" ht="15" customHeight="1" x14ac:dyDescent="0.25">
      <c r="A1190">
        <v>691</v>
      </c>
      <c r="B1190" t="s">
        <v>140</v>
      </c>
      <c r="C1190">
        <v>627</v>
      </c>
      <c r="D1190" t="s">
        <v>132</v>
      </c>
      <c r="E1190" s="6">
        <v>6.24</v>
      </c>
    </row>
    <row r="1191" spans="1:5" ht="15" customHeight="1" x14ac:dyDescent="0.25">
      <c r="A1191">
        <v>691</v>
      </c>
      <c r="B1191" t="s">
        <v>140</v>
      </c>
      <c r="C1191">
        <v>651</v>
      </c>
      <c r="D1191" t="s">
        <v>133</v>
      </c>
      <c r="E1191" s="6">
        <v>2.79</v>
      </c>
    </row>
    <row r="1192" spans="1:5" ht="15" customHeight="1" x14ac:dyDescent="0.25">
      <c r="A1192">
        <v>691</v>
      </c>
      <c r="B1192" t="s">
        <v>140</v>
      </c>
      <c r="C1192">
        <v>668</v>
      </c>
      <c r="D1192" t="s">
        <v>134</v>
      </c>
      <c r="E1192" s="6">
        <v>5.63</v>
      </c>
    </row>
    <row r="1193" spans="1:5" ht="15" customHeight="1" x14ac:dyDescent="0.25">
      <c r="A1193">
        <v>691</v>
      </c>
      <c r="B1193" t="s">
        <v>140</v>
      </c>
      <c r="C1193">
        <v>681</v>
      </c>
      <c r="D1193" t="s">
        <v>135</v>
      </c>
      <c r="E1193" s="6">
        <v>0.5</v>
      </c>
    </row>
    <row r="1194" spans="1:5" ht="15" customHeight="1" x14ac:dyDescent="0.25">
      <c r="A1194">
        <v>691</v>
      </c>
      <c r="B1194" t="s">
        <v>140</v>
      </c>
      <c r="C1194">
        <v>682</v>
      </c>
      <c r="D1194" t="s">
        <v>136</v>
      </c>
      <c r="E1194" s="6">
        <v>3.82</v>
      </c>
    </row>
    <row r="1195" spans="1:5" ht="15" customHeight="1" x14ac:dyDescent="0.25">
      <c r="A1195">
        <v>691</v>
      </c>
      <c r="B1195" t="s">
        <v>140</v>
      </c>
      <c r="C1195">
        <v>683</v>
      </c>
      <c r="D1195" t="s">
        <v>137</v>
      </c>
      <c r="E1195" s="6">
        <v>3.23</v>
      </c>
    </row>
    <row r="1196" spans="1:5" ht="15" customHeight="1" x14ac:dyDescent="0.25">
      <c r="A1196">
        <v>691</v>
      </c>
      <c r="B1196" t="s">
        <v>140</v>
      </c>
      <c r="C1196">
        <v>684</v>
      </c>
      <c r="D1196" t="s">
        <v>138</v>
      </c>
      <c r="E1196" s="6">
        <v>2.98</v>
      </c>
    </row>
    <row r="1197" spans="1:5" ht="15" customHeight="1" x14ac:dyDescent="0.25">
      <c r="A1197">
        <v>691</v>
      </c>
      <c r="B1197" t="s">
        <v>140</v>
      </c>
      <c r="C1197">
        <v>685</v>
      </c>
      <c r="D1197" t="s">
        <v>139</v>
      </c>
      <c r="E1197" s="6">
        <v>1.42</v>
      </c>
    </row>
    <row r="1198" spans="1:5" ht="15" customHeight="1" x14ac:dyDescent="0.25">
      <c r="A1198">
        <v>691</v>
      </c>
      <c r="B1198" t="s">
        <v>140</v>
      </c>
      <c r="C1198">
        <v>691</v>
      </c>
      <c r="D1198" t="s">
        <v>140</v>
      </c>
      <c r="E1198" s="6">
        <v>0</v>
      </c>
    </row>
    <row r="1199" spans="1:5" ht="15" customHeight="1" x14ac:dyDescent="0.25">
      <c r="A1199">
        <v>691</v>
      </c>
      <c r="B1199" t="s">
        <v>140</v>
      </c>
      <c r="C1199">
        <v>706</v>
      </c>
      <c r="D1199" t="s">
        <v>141</v>
      </c>
      <c r="E1199" s="6">
        <v>2.84</v>
      </c>
    </row>
    <row r="1200" spans="1:5" ht="15" customHeight="1" x14ac:dyDescent="0.25">
      <c r="A1200">
        <v>691</v>
      </c>
      <c r="B1200" t="s">
        <v>140</v>
      </c>
      <c r="C1200">
        <v>713</v>
      </c>
      <c r="D1200" t="s">
        <v>142</v>
      </c>
      <c r="E1200" s="6">
        <v>4.5999999999999996</v>
      </c>
    </row>
    <row r="1201" spans="1:5" ht="15" customHeight="1" x14ac:dyDescent="0.25">
      <c r="A1201">
        <v>691</v>
      </c>
      <c r="B1201" t="s">
        <v>140</v>
      </c>
      <c r="C1201">
        <v>718</v>
      </c>
      <c r="D1201" t="s">
        <v>143</v>
      </c>
      <c r="E1201" s="6">
        <v>5.35</v>
      </c>
    </row>
    <row r="1202" spans="1:5" ht="15" customHeight="1" x14ac:dyDescent="0.25">
      <c r="A1202">
        <v>691</v>
      </c>
      <c r="B1202" t="s">
        <v>140</v>
      </c>
      <c r="C1202">
        <v>731</v>
      </c>
      <c r="D1202" t="s">
        <v>144</v>
      </c>
      <c r="E1202" s="6">
        <v>31.55</v>
      </c>
    </row>
    <row r="1203" spans="1:5" ht="15" customHeight="1" x14ac:dyDescent="0.25">
      <c r="A1203">
        <v>691</v>
      </c>
      <c r="B1203" t="s">
        <v>140</v>
      </c>
      <c r="C1203">
        <v>743</v>
      </c>
      <c r="D1203" t="s">
        <v>145</v>
      </c>
      <c r="E1203" s="6">
        <v>12.3</v>
      </c>
    </row>
    <row r="1204" spans="1:5" ht="15" customHeight="1" x14ac:dyDescent="0.25">
      <c r="A1204">
        <v>691</v>
      </c>
      <c r="B1204" t="s">
        <v>140</v>
      </c>
      <c r="C1204">
        <v>760</v>
      </c>
      <c r="D1204" t="s">
        <v>146</v>
      </c>
      <c r="E1204" s="6">
        <v>0.9</v>
      </c>
    </row>
    <row r="1205" spans="1:5" ht="15" customHeight="1" x14ac:dyDescent="0.25">
      <c r="A1205">
        <v>691</v>
      </c>
      <c r="B1205" t="s">
        <v>140</v>
      </c>
      <c r="C1205">
        <v>765</v>
      </c>
      <c r="D1205" t="s">
        <v>147</v>
      </c>
      <c r="E1205" s="6">
        <v>5.08</v>
      </c>
    </row>
    <row r="1206" spans="1:5" ht="15" customHeight="1" x14ac:dyDescent="0.25">
      <c r="A1206">
        <v>691</v>
      </c>
      <c r="B1206" t="s">
        <v>140</v>
      </c>
      <c r="C1206">
        <v>766</v>
      </c>
      <c r="D1206" t="s">
        <v>148</v>
      </c>
      <c r="E1206" s="6">
        <v>4.32</v>
      </c>
    </row>
    <row r="1207" spans="1:5" ht="15" customHeight="1" x14ac:dyDescent="0.25">
      <c r="A1207">
        <v>691</v>
      </c>
      <c r="B1207" t="s">
        <v>140</v>
      </c>
      <c r="C1207">
        <v>767</v>
      </c>
      <c r="D1207" t="s">
        <v>149</v>
      </c>
      <c r="E1207" s="6">
        <v>6.02</v>
      </c>
    </row>
    <row r="1208" spans="1:5" ht="15" customHeight="1" x14ac:dyDescent="0.25">
      <c r="A1208">
        <v>691</v>
      </c>
      <c r="B1208" t="s">
        <v>140</v>
      </c>
      <c r="C1208">
        <v>795</v>
      </c>
      <c r="D1208" t="s">
        <v>150</v>
      </c>
      <c r="E1208" s="6">
        <v>2.0099999999999998</v>
      </c>
    </row>
    <row r="1209" spans="1:5" ht="15" customHeight="1" x14ac:dyDescent="0.25">
      <c r="A1209">
        <v>691</v>
      </c>
      <c r="B1209" t="s">
        <v>140</v>
      </c>
      <c r="C1209">
        <v>798</v>
      </c>
      <c r="D1209" t="s">
        <v>151</v>
      </c>
      <c r="E1209" s="6">
        <v>1.55</v>
      </c>
    </row>
    <row r="1210" spans="1:5" ht="15" customHeight="1" x14ac:dyDescent="0.25">
      <c r="A1210">
        <v>691</v>
      </c>
      <c r="B1210" t="s">
        <v>140</v>
      </c>
      <c r="C1210">
        <v>799</v>
      </c>
      <c r="D1210" t="s">
        <v>152</v>
      </c>
      <c r="E1210" s="6">
        <v>4.5599999999999996</v>
      </c>
    </row>
    <row r="1211" spans="1:5" ht="15" customHeight="1" x14ac:dyDescent="0.25">
      <c r="A1211">
        <v>691</v>
      </c>
      <c r="B1211" t="s">
        <v>140</v>
      </c>
      <c r="C1211">
        <v>811</v>
      </c>
      <c r="D1211" t="s">
        <v>153</v>
      </c>
      <c r="E1211" s="6">
        <v>8.68</v>
      </c>
    </row>
    <row r="1212" spans="1:5" ht="15" customHeight="1" x14ac:dyDescent="0.25">
      <c r="A1212">
        <v>691</v>
      </c>
      <c r="B1212" t="s">
        <v>140</v>
      </c>
      <c r="C1212">
        <v>820</v>
      </c>
      <c r="D1212" t="s">
        <v>154</v>
      </c>
      <c r="E1212" s="6">
        <v>0.98</v>
      </c>
    </row>
    <row r="1213" spans="1:5" ht="15" customHeight="1" x14ac:dyDescent="0.25">
      <c r="A1213">
        <v>691</v>
      </c>
      <c r="B1213" t="s">
        <v>140</v>
      </c>
      <c r="C1213">
        <v>830</v>
      </c>
      <c r="D1213" t="s">
        <v>155</v>
      </c>
      <c r="E1213" s="6">
        <v>0.77</v>
      </c>
    </row>
    <row r="1214" spans="1:5" ht="15" customHeight="1" x14ac:dyDescent="0.25">
      <c r="A1214">
        <v>691</v>
      </c>
      <c r="B1214" t="s">
        <v>140</v>
      </c>
      <c r="C1214">
        <v>831</v>
      </c>
      <c r="D1214" t="s">
        <v>156</v>
      </c>
      <c r="E1214" s="6">
        <v>9.59</v>
      </c>
    </row>
    <row r="1215" spans="1:5" ht="15" customHeight="1" x14ac:dyDescent="0.25">
      <c r="A1215">
        <v>691</v>
      </c>
      <c r="B1215" t="s">
        <v>140</v>
      </c>
      <c r="C1215">
        <v>832</v>
      </c>
      <c r="D1215" t="s">
        <v>157</v>
      </c>
      <c r="E1215" s="6">
        <v>1.37</v>
      </c>
    </row>
    <row r="1216" spans="1:5" ht="15" customHeight="1" x14ac:dyDescent="0.25">
      <c r="A1216">
        <v>691</v>
      </c>
      <c r="B1216" t="s">
        <v>140</v>
      </c>
      <c r="C1216">
        <v>833</v>
      </c>
      <c r="D1216" t="s">
        <v>158</v>
      </c>
      <c r="E1216" s="6">
        <v>2.5499999999999998</v>
      </c>
    </row>
    <row r="1217" spans="1:5" ht="15" customHeight="1" x14ac:dyDescent="0.25">
      <c r="A1217">
        <v>691</v>
      </c>
      <c r="B1217" t="s">
        <v>140</v>
      </c>
      <c r="C1217">
        <v>840</v>
      </c>
      <c r="D1217" t="s">
        <v>159</v>
      </c>
      <c r="E1217" s="6">
        <v>3.36</v>
      </c>
    </row>
    <row r="1218" spans="1:5" ht="15" customHeight="1" x14ac:dyDescent="0.25">
      <c r="A1218">
        <v>691</v>
      </c>
      <c r="B1218" t="s">
        <v>140</v>
      </c>
      <c r="C1218">
        <v>841</v>
      </c>
      <c r="D1218" t="s">
        <v>160</v>
      </c>
      <c r="E1218" s="6">
        <v>1.55</v>
      </c>
    </row>
    <row r="1219" spans="1:5" ht="15" customHeight="1" x14ac:dyDescent="0.25">
      <c r="A1219">
        <v>691</v>
      </c>
      <c r="B1219" t="s">
        <v>140</v>
      </c>
      <c r="C1219">
        <v>842</v>
      </c>
      <c r="D1219" t="s">
        <v>161</v>
      </c>
      <c r="E1219" s="6">
        <v>6.61</v>
      </c>
    </row>
    <row r="1220" spans="1:5" ht="15" customHeight="1" x14ac:dyDescent="0.25">
      <c r="A1220">
        <v>691</v>
      </c>
      <c r="B1220" t="s">
        <v>140</v>
      </c>
      <c r="C1220">
        <v>847</v>
      </c>
      <c r="D1220" t="s">
        <v>162</v>
      </c>
      <c r="E1220" s="6">
        <v>1.9</v>
      </c>
    </row>
    <row r="1221" spans="1:5" ht="15" customHeight="1" x14ac:dyDescent="0.25">
      <c r="A1221">
        <v>691</v>
      </c>
      <c r="B1221" t="s">
        <v>140</v>
      </c>
      <c r="C1221">
        <v>877</v>
      </c>
      <c r="D1221" t="s">
        <v>163</v>
      </c>
      <c r="E1221" s="6">
        <v>22.03</v>
      </c>
    </row>
    <row r="1222" spans="1:5" ht="15" customHeight="1" x14ac:dyDescent="0.25">
      <c r="A1222">
        <v>691</v>
      </c>
      <c r="B1222" t="s">
        <v>140</v>
      </c>
      <c r="C1222">
        <v>898</v>
      </c>
      <c r="D1222" t="s">
        <v>164</v>
      </c>
      <c r="E1222" s="6">
        <v>5.96</v>
      </c>
    </row>
    <row r="1223" spans="1:5" ht="15" customHeight="1" x14ac:dyDescent="0.25">
      <c r="A1223">
        <v>691</v>
      </c>
      <c r="B1223" t="s">
        <v>140</v>
      </c>
      <c r="C1223">
        <v>899</v>
      </c>
      <c r="D1223" t="s">
        <v>165</v>
      </c>
      <c r="E1223" s="6">
        <v>7.28</v>
      </c>
    </row>
    <row r="1224" spans="1:5" ht="15" customHeight="1" x14ac:dyDescent="0.25">
      <c r="A1224">
        <v>691</v>
      </c>
      <c r="B1224" t="s">
        <v>140</v>
      </c>
      <c r="C1224">
        <v>1912</v>
      </c>
      <c r="D1224" t="s">
        <v>166</v>
      </c>
      <c r="E1224" s="6">
        <v>27.39</v>
      </c>
    </row>
    <row r="1225" spans="1:5" ht="15" customHeight="1" x14ac:dyDescent="0.25">
      <c r="A1225">
        <v>691</v>
      </c>
      <c r="B1225" t="s">
        <v>140</v>
      </c>
      <c r="C1225">
        <v>9999</v>
      </c>
      <c r="D1225" t="s">
        <v>117</v>
      </c>
      <c r="E1225" s="6">
        <v>3.2</v>
      </c>
    </row>
    <row r="1226" spans="1:5" ht="15" customHeight="1" x14ac:dyDescent="0.25">
      <c r="A1226">
        <v>706</v>
      </c>
      <c r="B1226" t="s">
        <v>141</v>
      </c>
      <c r="C1226">
        <v>1</v>
      </c>
      <c r="D1226" t="s">
        <v>117</v>
      </c>
      <c r="E1226" s="6">
        <v>2.0299999999999998</v>
      </c>
    </row>
    <row r="1227" spans="1:5" ht="15" customHeight="1" x14ac:dyDescent="0.25">
      <c r="A1227">
        <v>706</v>
      </c>
      <c r="B1227" t="s">
        <v>141</v>
      </c>
      <c r="C1227">
        <v>3</v>
      </c>
      <c r="D1227" t="s">
        <v>118</v>
      </c>
      <c r="E1227" s="6">
        <v>60.5</v>
      </c>
    </row>
    <row r="1228" spans="1:5" ht="15" customHeight="1" x14ac:dyDescent="0.25">
      <c r="A1228">
        <v>706</v>
      </c>
      <c r="B1228" t="s">
        <v>141</v>
      </c>
      <c r="C1228">
        <v>5</v>
      </c>
      <c r="D1228" t="s">
        <v>119</v>
      </c>
      <c r="E1228" s="6">
        <v>107.89</v>
      </c>
    </row>
    <row r="1229" spans="1:5" ht="15" customHeight="1" x14ac:dyDescent="0.25">
      <c r="A1229">
        <v>706</v>
      </c>
      <c r="B1229" t="s">
        <v>141</v>
      </c>
      <c r="C1229">
        <v>11</v>
      </c>
      <c r="D1229" t="s">
        <v>120</v>
      </c>
      <c r="E1229" s="6">
        <v>87.14</v>
      </c>
    </row>
    <row r="1230" spans="1:5" ht="15" customHeight="1" x14ac:dyDescent="0.25">
      <c r="A1230">
        <v>706</v>
      </c>
      <c r="B1230" t="s">
        <v>141</v>
      </c>
      <c r="C1230">
        <v>12</v>
      </c>
      <c r="D1230" t="s">
        <v>121</v>
      </c>
      <c r="E1230" s="6">
        <v>56.17</v>
      </c>
    </row>
    <row r="1231" spans="1:5" ht="15" customHeight="1" x14ac:dyDescent="0.25">
      <c r="A1231">
        <v>706</v>
      </c>
      <c r="B1231" t="s">
        <v>141</v>
      </c>
      <c r="C1231">
        <v>29</v>
      </c>
      <c r="D1231" t="s">
        <v>122</v>
      </c>
      <c r="E1231" s="6">
        <v>119.22</v>
      </c>
    </row>
    <row r="1232" spans="1:5" ht="15" customHeight="1" x14ac:dyDescent="0.25">
      <c r="A1232">
        <v>706</v>
      </c>
      <c r="B1232" t="s">
        <v>141</v>
      </c>
      <c r="C1232">
        <v>70</v>
      </c>
      <c r="D1232" t="s">
        <v>123</v>
      </c>
      <c r="E1232" s="6">
        <v>81.95</v>
      </c>
    </row>
    <row r="1233" spans="1:5" ht="15" customHeight="1" x14ac:dyDescent="0.25">
      <c r="A1233">
        <v>706</v>
      </c>
      <c r="B1233" t="s">
        <v>141</v>
      </c>
      <c r="C1233">
        <v>71</v>
      </c>
      <c r="D1233" t="s">
        <v>124</v>
      </c>
      <c r="E1233" s="6">
        <v>124.71</v>
      </c>
    </row>
    <row r="1234" spans="1:5" ht="15" customHeight="1" x14ac:dyDescent="0.25">
      <c r="A1234">
        <v>706</v>
      </c>
      <c r="B1234" t="s">
        <v>141</v>
      </c>
      <c r="C1234">
        <v>384</v>
      </c>
      <c r="D1234" t="s">
        <v>125</v>
      </c>
      <c r="E1234" s="6">
        <v>1.18</v>
      </c>
    </row>
    <row r="1235" spans="1:5" ht="15" customHeight="1" x14ac:dyDescent="0.25">
      <c r="A1235">
        <v>706</v>
      </c>
      <c r="B1235" t="s">
        <v>141</v>
      </c>
      <c r="C1235">
        <v>429</v>
      </c>
      <c r="D1235" t="s">
        <v>126</v>
      </c>
      <c r="E1235" s="6">
        <v>68.63</v>
      </c>
    </row>
    <row r="1236" spans="1:5" ht="15" customHeight="1" x14ac:dyDescent="0.25">
      <c r="A1236">
        <v>706</v>
      </c>
      <c r="B1236" t="s">
        <v>141</v>
      </c>
      <c r="C1236">
        <v>486</v>
      </c>
      <c r="D1236" t="s">
        <v>127</v>
      </c>
      <c r="E1236" s="6">
        <v>68.23</v>
      </c>
    </row>
    <row r="1237" spans="1:5" ht="15" customHeight="1" x14ac:dyDescent="0.25">
      <c r="A1237">
        <v>706</v>
      </c>
      <c r="B1237" t="s">
        <v>141</v>
      </c>
      <c r="C1237">
        <v>546</v>
      </c>
      <c r="D1237" t="s">
        <v>128</v>
      </c>
      <c r="E1237" s="6">
        <v>74.5</v>
      </c>
    </row>
    <row r="1238" spans="1:5" ht="15" customHeight="1" x14ac:dyDescent="0.25">
      <c r="A1238">
        <v>706</v>
      </c>
      <c r="B1238" t="s">
        <v>141</v>
      </c>
      <c r="C1238">
        <v>599</v>
      </c>
      <c r="D1238" t="s">
        <v>129</v>
      </c>
      <c r="E1238" s="6">
        <v>7.17</v>
      </c>
    </row>
    <row r="1239" spans="1:5" ht="15" customHeight="1" x14ac:dyDescent="0.25">
      <c r="A1239">
        <v>706</v>
      </c>
      <c r="B1239" t="s">
        <v>141</v>
      </c>
      <c r="C1239">
        <v>620</v>
      </c>
      <c r="D1239" t="s">
        <v>130</v>
      </c>
      <c r="E1239" s="6">
        <v>39.49</v>
      </c>
    </row>
    <row r="1240" spans="1:5" ht="15" customHeight="1" x14ac:dyDescent="0.25">
      <c r="A1240">
        <v>706</v>
      </c>
      <c r="B1240" t="s">
        <v>141</v>
      </c>
      <c r="C1240">
        <v>626</v>
      </c>
      <c r="D1240" t="s">
        <v>131</v>
      </c>
      <c r="E1240" s="6">
        <v>5.18</v>
      </c>
    </row>
    <row r="1241" spans="1:5" ht="15" customHeight="1" x14ac:dyDescent="0.25">
      <c r="A1241">
        <v>706</v>
      </c>
      <c r="B1241" t="s">
        <v>141</v>
      </c>
      <c r="C1241">
        <v>627</v>
      </c>
      <c r="D1241" t="s">
        <v>132</v>
      </c>
      <c r="E1241" s="6">
        <v>3.54</v>
      </c>
    </row>
    <row r="1242" spans="1:5" ht="15" customHeight="1" x14ac:dyDescent="0.25">
      <c r="A1242">
        <v>706</v>
      </c>
      <c r="B1242" t="s">
        <v>141</v>
      </c>
      <c r="C1242">
        <v>651</v>
      </c>
      <c r="D1242" t="s">
        <v>133</v>
      </c>
      <c r="E1242" s="6">
        <v>0.48</v>
      </c>
    </row>
    <row r="1243" spans="1:5" ht="15" customHeight="1" x14ac:dyDescent="0.25">
      <c r="A1243">
        <v>706</v>
      </c>
      <c r="B1243" t="s">
        <v>141</v>
      </c>
      <c r="C1243">
        <v>668</v>
      </c>
      <c r="D1243" t="s">
        <v>134</v>
      </c>
      <c r="E1243" s="6">
        <v>5.27</v>
      </c>
    </row>
    <row r="1244" spans="1:5" ht="15" customHeight="1" x14ac:dyDescent="0.25">
      <c r="A1244">
        <v>706</v>
      </c>
      <c r="B1244" t="s">
        <v>141</v>
      </c>
      <c r="C1244">
        <v>681</v>
      </c>
      <c r="D1244" t="s">
        <v>135</v>
      </c>
      <c r="E1244" s="6">
        <v>2.58</v>
      </c>
    </row>
    <row r="1245" spans="1:5" ht="15" customHeight="1" x14ac:dyDescent="0.25">
      <c r="A1245">
        <v>706</v>
      </c>
      <c r="B1245" t="s">
        <v>141</v>
      </c>
      <c r="C1245">
        <v>682</v>
      </c>
      <c r="D1245" t="s">
        <v>136</v>
      </c>
      <c r="E1245" s="6">
        <v>2.1800000000000002</v>
      </c>
    </row>
    <row r="1246" spans="1:5" ht="15" customHeight="1" x14ac:dyDescent="0.25">
      <c r="A1246">
        <v>706</v>
      </c>
      <c r="B1246" t="s">
        <v>141</v>
      </c>
      <c r="C1246">
        <v>683</v>
      </c>
      <c r="D1246" t="s">
        <v>137</v>
      </c>
      <c r="E1246" s="6">
        <v>1.59</v>
      </c>
    </row>
    <row r="1247" spans="1:5" ht="15" customHeight="1" x14ac:dyDescent="0.25">
      <c r="A1247">
        <v>706</v>
      </c>
      <c r="B1247" t="s">
        <v>141</v>
      </c>
      <c r="C1247">
        <v>684</v>
      </c>
      <c r="D1247" t="s">
        <v>138</v>
      </c>
      <c r="E1247" s="6">
        <v>3.07</v>
      </c>
    </row>
    <row r="1248" spans="1:5" ht="15" customHeight="1" x14ac:dyDescent="0.25">
      <c r="A1248">
        <v>706</v>
      </c>
      <c r="B1248" t="s">
        <v>141</v>
      </c>
      <c r="C1248">
        <v>685</v>
      </c>
      <c r="D1248" t="s">
        <v>139</v>
      </c>
      <c r="E1248" s="6">
        <v>2.25</v>
      </c>
    </row>
    <row r="1249" spans="1:5" ht="15" customHeight="1" x14ac:dyDescent="0.25">
      <c r="A1249">
        <v>706</v>
      </c>
      <c r="B1249" t="s">
        <v>141</v>
      </c>
      <c r="C1249">
        <v>691</v>
      </c>
      <c r="D1249" t="s">
        <v>140</v>
      </c>
      <c r="E1249" s="6">
        <v>2.84</v>
      </c>
    </row>
    <row r="1250" spans="1:5" ht="15" customHeight="1" x14ac:dyDescent="0.25">
      <c r="A1250">
        <v>706</v>
      </c>
      <c r="B1250" t="s">
        <v>141</v>
      </c>
      <c r="C1250">
        <v>706</v>
      </c>
      <c r="D1250" t="s">
        <v>141</v>
      </c>
      <c r="E1250" s="6">
        <v>0</v>
      </c>
    </row>
    <row r="1251" spans="1:5" ht="15" customHeight="1" x14ac:dyDescent="0.25">
      <c r="A1251">
        <v>706</v>
      </c>
      <c r="B1251" t="s">
        <v>141</v>
      </c>
      <c r="C1251">
        <v>713</v>
      </c>
      <c r="D1251" t="s">
        <v>142</v>
      </c>
      <c r="E1251" s="6">
        <v>3.72</v>
      </c>
    </row>
    <row r="1252" spans="1:5" ht="15" customHeight="1" x14ac:dyDescent="0.25">
      <c r="A1252">
        <v>706</v>
      </c>
      <c r="B1252" t="s">
        <v>141</v>
      </c>
      <c r="C1252">
        <v>718</v>
      </c>
      <c r="D1252" t="s">
        <v>143</v>
      </c>
      <c r="E1252" s="6">
        <v>2.58</v>
      </c>
    </row>
    <row r="1253" spans="1:5" ht="15" customHeight="1" x14ac:dyDescent="0.25">
      <c r="A1253">
        <v>706</v>
      </c>
      <c r="B1253" t="s">
        <v>141</v>
      </c>
      <c r="C1253">
        <v>731</v>
      </c>
      <c r="D1253" t="s">
        <v>144</v>
      </c>
      <c r="E1253" s="6">
        <v>32.380000000000003</v>
      </c>
    </row>
    <row r="1254" spans="1:5" ht="15" customHeight="1" x14ac:dyDescent="0.25">
      <c r="A1254">
        <v>706</v>
      </c>
      <c r="B1254" t="s">
        <v>141</v>
      </c>
      <c r="C1254">
        <v>743</v>
      </c>
      <c r="D1254" t="s">
        <v>145</v>
      </c>
      <c r="E1254" s="6">
        <v>15.14</v>
      </c>
    </row>
    <row r="1255" spans="1:5" ht="15" customHeight="1" x14ac:dyDescent="0.25">
      <c r="A1255">
        <v>706</v>
      </c>
      <c r="B1255" t="s">
        <v>141</v>
      </c>
      <c r="C1255">
        <v>760</v>
      </c>
      <c r="D1255" t="s">
        <v>146</v>
      </c>
      <c r="E1255" s="6">
        <v>2.66</v>
      </c>
    </row>
    <row r="1256" spans="1:5" ht="15" customHeight="1" x14ac:dyDescent="0.25">
      <c r="A1256">
        <v>706</v>
      </c>
      <c r="B1256" t="s">
        <v>141</v>
      </c>
      <c r="C1256">
        <v>765</v>
      </c>
      <c r="D1256" t="s">
        <v>147</v>
      </c>
      <c r="E1256" s="6">
        <v>6.15</v>
      </c>
    </row>
    <row r="1257" spans="1:5" ht="15" customHeight="1" x14ac:dyDescent="0.25">
      <c r="A1257">
        <v>706</v>
      </c>
      <c r="B1257" t="s">
        <v>141</v>
      </c>
      <c r="C1257">
        <v>766</v>
      </c>
      <c r="D1257" t="s">
        <v>148</v>
      </c>
      <c r="E1257" s="6">
        <v>1.82</v>
      </c>
    </row>
    <row r="1258" spans="1:5" ht="15" customHeight="1" x14ac:dyDescent="0.25">
      <c r="A1258">
        <v>706</v>
      </c>
      <c r="B1258" t="s">
        <v>141</v>
      </c>
      <c r="C1258">
        <v>767</v>
      </c>
      <c r="D1258" t="s">
        <v>149</v>
      </c>
      <c r="E1258" s="6">
        <v>4.29</v>
      </c>
    </row>
    <row r="1259" spans="1:5" ht="15" customHeight="1" x14ac:dyDescent="0.25">
      <c r="A1259">
        <v>706</v>
      </c>
      <c r="B1259" t="s">
        <v>141</v>
      </c>
      <c r="C1259">
        <v>795</v>
      </c>
      <c r="D1259" t="s">
        <v>150</v>
      </c>
      <c r="E1259" s="6">
        <v>2.34</v>
      </c>
    </row>
    <row r="1260" spans="1:5" ht="15" customHeight="1" x14ac:dyDescent="0.25">
      <c r="A1260">
        <v>706</v>
      </c>
      <c r="B1260" t="s">
        <v>141</v>
      </c>
      <c r="C1260">
        <v>798</v>
      </c>
      <c r="D1260" t="s">
        <v>151</v>
      </c>
      <c r="E1260" s="6">
        <v>4.3899999999999997</v>
      </c>
    </row>
    <row r="1261" spans="1:5" ht="15" customHeight="1" x14ac:dyDescent="0.25">
      <c r="A1261">
        <v>706</v>
      </c>
      <c r="B1261" t="s">
        <v>141</v>
      </c>
      <c r="C1261">
        <v>799</v>
      </c>
      <c r="D1261" t="s">
        <v>152</v>
      </c>
      <c r="E1261" s="6">
        <v>5.07</v>
      </c>
    </row>
    <row r="1262" spans="1:5" ht="15" customHeight="1" x14ac:dyDescent="0.25">
      <c r="A1262">
        <v>706</v>
      </c>
      <c r="B1262" t="s">
        <v>141</v>
      </c>
      <c r="C1262">
        <v>811</v>
      </c>
      <c r="D1262" t="s">
        <v>153</v>
      </c>
      <c r="E1262" s="6">
        <v>6.09</v>
      </c>
    </row>
    <row r="1263" spans="1:5" ht="15" customHeight="1" x14ac:dyDescent="0.25">
      <c r="A1263">
        <v>706</v>
      </c>
      <c r="B1263" t="s">
        <v>141</v>
      </c>
      <c r="C1263">
        <v>820</v>
      </c>
      <c r="D1263" t="s">
        <v>154</v>
      </c>
      <c r="E1263" s="6">
        <v>3.55</v>
      </c>
    </row>
    <row r="1264" spans="1:5" ht="15" customHeight="1" x14ac:dyDescent="0.25">
      <c r="A1264">
        <v>706</v>
      </c>
      <c r="B1264" t="s">
        <v>141</v>
      </c>
      <c r="C1264">
        <v>830</v>
      </c>
      <c r="D1264" t="s">
        <v>155</v>
      </c>
      <c r="E1264" s="6">
        <v>3.58</v>
      </c>
    </row>
    <row r="1265" spans="1:5" ht="15" customHeight="1" x14ac:dyDescent="0.25">
      <c r="A1265">
        <v>706</v>
      </c>
      <c r="B1265" t="s">
        <v>141</v>
      </c>
      <c r="C1265">
        <v>831</v>
      </c>
      <c r="D1265" t="s">
        <v>156</v>
      </c>
      <c r="E1265" s="6">
        <v>9.44</v>
      </c>
    </row>
    <row r="1266" spans="1:5" ht="15" customHeight="1" x14ac:dyDescent="0.25">
      <c r="A1266">
        <v>706</v>
      </c>
      <c r="B1266" t="s">
        <v>141</v>
      </c>
      <c r="C1266">
        <v>832</v>
      </c>
      <c r="D1266" t="s">
        <v>157</v>
      </c>
      <c r="E1266" s="6">
        <v>3.9</v>
      </c>
    </row>
    <row r="1267" spans="1:5" ht="15" customHeight="1" x14ac:dyDescent="0.25">
      <c r="A1267">
        <v>706</v>
      </c>
      <c r="B1267" t="s">
        <v>141</v>
      </c>
      <c r="C1267">
        <v>833</v>
      </c>
      <c r="D1267" t="s">
        <v>158</v>
      </c>
      <c r="E1267" s="6">
        <v>3.38</v>
      </c>
    </row>
    <row r="1268" spans="1:5" ht="15" customHeight="1" x14ac:dyDescent="0.25">
      <c r="A1268">
        <v>706</v>
      </c>
      <c r="B1268" t="s">
        <v>141</v>
      </c>
      <c r="C1268">
        <v>840</v>
      </c>
      <c r="D1268" t="s">
        <v>159</v>
      </c>
      <c r="E1268" s="6">
        <v>6.09</v>
      </c>
    </row>
    <row r="1269" spans="1:5" ht="15" customHeight="1" x14ac:dyDescent="0.25">
      <c r="A1269">
        <v>706</v>
      </c>
      <c r="B1269" t="s">
        <v>141</v>
      </c>
      <c r="C1269">
        <v>841</v>
      </c>
      <c r="D1269" t="s">
        <v>160</v>
      </c>
      <c r="E1269" s="6">
        <v>1.36</v>
      </c>
    </row>
    <row r="1270" spans="1:5" ht="15" customHeight="1" x14ac:dyDescent="0.25">
      <c r="A1270">
        <v>706</v>
      </c>
      <c r="B1270" t="s">
        <v>141</v>
      </c>
      <c r="C1270">
        <v>842</v>
      </c>
      <c r="D1270" t="s">
        <v>161</v>
      </c>
      <c r="E1270" s="6">
        <v>4.9800000000000004</v>
      </c>
    </row>
    <row r="1271" spans="1:5" ht="15" customHeight="1" x14ac:dyDescent="0.25">
      <c r="A1271">
        <v>706</v>
      </c>
      <c r="B1271" t="s">
        <v>141</v>
      </c>
      <c r="C1271">
        <v>847</v>
      </c>
      <c r="D1271" t="s">
        <v>162</v>
      </c>
      <c r="E1271" s="6">
        <v>0.95</v>
      </c>
    </row>
    <row r="1272" spans="1:5" ht="15" customHeight="1" x14ac:dyDescent="0.25">
      <c r="A1272">
        <v>706</v>
      </c>
      <c r="B1272" t="s">
        <v>141</v>
      </c>
      <c r="C1272">
        <v>877</v>
      </c>
      <c r="D1272" t="s">
        <v>163</v>
      </c>
      <c r="E1272" s="6">
        <v>22.9</v>
      </c>
    </row>
    <row r="1273" spans="1:5" ht="15" customHeight="1" x14ac:dyDescent="0.25">
      <c r="A1273">
        <v>706</v>
      </c>
      <c r="B1273" t="s">
        <v>141</v>
      </c>
      <c r="C1273">
        <v>898</v>
      </c>
      <c r="D1273" t="s">
        <v>164</v>
      </c>
      <c r="E1273" s="6">
        <v>6.12</v>
      </c>
    </row>
    <row r="1274" spans="1:5" ht="15" customHeight="1" x14ac:dyDescent="0.25">
      <c r="A1274">
        <v>706</v>
      </c>
      <c r="B1274" t="s">
        <v>141</v>
      </c>
      <c r="C1274">
        <v>899</v>
      </c>
      <c r="D1274" t="s">
        <v>165</v>
      </c>
      <c r="E1274" s="6">
        <v>4.91</v>
      </c>
    </row>
    <row r="1275" spans="1:5" ht="15" customHeight="1" x14ac:dyDescent="0.25">
      <c r="A1275">
        <v>706</v>
      </c>
      <c r="B1275" t="s">
        <v>141</v>
      </c>
      <c r="C1275">
        <v>1912</v>
      </c>
      <c r="D1275" t="s">
        <v>166</v>
      </c>
      <c r="E1275" s="6">
        <v>27.93</v>
      </c>
    </row>
    <row r="1276" spans="1:5" ht="15" customHeight="1" x14ac:dyDescent="0.25">
      <c r="A1276">
        <v>706</v>
      </c>
      <c r="B1276" t="s">
        <v>141</v>
      </c>
      <c r="C1276">
        <v>9999</v>
      </c>
      <c r="D1276" t="s">
        <v>117</v>
      </c>
      <c r="E1276" s="6">
        <v>2.0299999999999998</v>
      </c>
    </row>
    <row r="1277" spans="1:5" ht="15" customHeight="1" x14ac:dyDescent="0.25">
      <c r="A1277">
        <v>713</v>
      </c>
      <c r="B1277" t="s">
        <v>142</v>
      </c>
      <c r="C1277">
        <v>1</v>
      </c>
      <c r="D1277" t="s">
        <v>117</v>
      </c>
      <c r="E1277" s="6">
        <v>1.72</v>
      </c>
    </row>
    <row r="1278" spans="1:5" ht="15" customHeight="1" x14ac:dyDescent="0.25">
      <c r="A1278">
        <v>713</v>
      </c>
      <c r="B1278" t="s">
        <v>142</v>
      </c>
      <c r="C1278">
        <v>3</v>
      </c>
      <c r="D1278" t="s">
        <v>118</v>
      </c>
      <c r="E1278" s="6">
        <v>56.92</v>
      </c>
    </row>
    <row r="1279" spans="1:5" ht="15" customHeight="1" x14ac:dyDescent="0.25">
      <c r="A1279">
        <v>713</v>
      </c>
      <c r="B1279" t="s">
        <v>142</v>
      </c>
      <c r="C1279">
        <v>5</v>
      </c>
      <c r="D1279" t="s">
        <v>119</v>
      </c>
      <c r="E1279" s="6">
        <v>104.24</v>
      </c>
    </row>
    <row r="1280" spans="1:5" ht="15" customHeight="1" x14ac:dyDescent="0.25">
      <c r="A1280">
        <v>713</v>
      </c>
      <c r="B1280" t="s">
        <v>142</v>
      </c>
      <c r="C1280">
        <v>11</v>
      </c>
      <c r="D1280" t="s">
        <v>120</v>
      </c>
      <c r="E1280" s="6">
        <v>84.54</v>
      </c>
    </row>
    <row r="1281" spans="1:5" ht="15" customHeight="1" x14ac:dyDescent="0.25">
      <c r="A1281">
        <v>713</v>
      </c>
      <c r="B1281" t="s">
        <v>142</v>
      </c>
      <c r="C1281">
        <v>12</v>
      </c>
      <c r="D1281" t="s">
        <v>121</v>
      </c>
      <c r="E1281" s="6">
        <v>53.41</v>
      </c>
    </row>
    <row r="1282" spans="1:5" ht="15" customHeight="1" x14ac:dyDescent="0.25">
      <c r="A1282">
        <v>713</v>
      </c>
      <c r="B1282" t="s">
        <v>142</v>
      </c>
      <c r="C1282">
        <v>29</v>
      </c>
      <c r="D1282" t="s">
        <v>122</v>
      </c>
      <c r="E1282" s="6">
        <v>122.51</v>
      </c>
    </row>
    <row r="1283" spans="1:5" ht="15" customHeight="1" x14ac:dyDescent="0.25">
      <c r="A1283">
        <v>713</v>
      </c>
      <c r="B1283" t="s">
        <v>142</v>
      </c>
      <c r="C1283">
        <v>70</v>
      </c>
      <c r="D1283" t="s">
        <v>123</v>
      </c>
      <c r="E1283" s="6">
        <v>80.72</v>
      </c>
    </row>
    <row r="1284" spans="1:5" ht="15" customHeight="1" x14ac:dyDescent="0.25">
      <c r="A1284">
        <v>713</v>
      </c>
      <c r="B1284" t="s">
        <v>142</v>
      </c>
      <c r="C1284">
        <v>71</v>
      </c>
      <c r="D1284" t="s">
        <v>124</v>
      </c>
      <c r="E1284" s="6">
        <v>126.04</v>
      </c>
    </row>
    <row r="1285" spans="1:5" ht="15" customHeight="1" x14ac:dyDescent="0.25">
      <c r="A1285">
        <v>713</v>
      </c>
      <c r="B1285" t="s">
        <v>142</v>
      </c>
      <c r="C1285">
        <v>384</v>
      </c>
      <c r="D1285" t="s">
        <v>125</v>
      </c>
      <c r="E1285" s="6">
        <v>2.59</v>
      </c>
    </row>
    <row r="1286" spans="1:5" ht="15" customHeight="1" x14ac:dyDescent="0.25">
      <c r="A1286">
        <v>713</v>
      </c>
      <c r="B1286" t="s">
        <v>142</v>
      </c>
      <c r="C1286">
        <v>429</v>
      </c>
      <c r="D1286" t="s">
        <v>126</v>
      </c>
      <c r="E1286" s="6">
        <v>69.95</v>
      </c>
    </row>
    <row r="1287" spans="1:5" ht="15" customHeight="1" x14ac:dyDescent="0.25">
      <c r="A1287">
        <v>713</v>
      </c>
      <c r="B1287" t="s">
        <v>142</v>
      </c>
      <c r="C1287">
        <v>486</v>
      </c>
      <c r="D1287" t="s">
        <v>127</v>
      </c>
      <c r="E1287" s="6">
        <v>64.95</v>
      </c>
    </row>
    <row r="1288" spans="1:5" ht="15" customHeight="1" x14ac:dyDescent="0.25">
      <c r="A1288">
        <v>713</v>
      </c>
      <c r="B1288" t="s">
        <v>142</v>
      </c>
      <c r="C1288">
        <v>546</v>
      </c>
      <c r="D1288" t="s">
        <v>128</v>
      </c>
      <c r="E1288" s="6">
        <v>70.78</v>
      </c>
    </row>
    <row r="1289" spans="1:5" ht="15" customHeight="1" x14ac:dyDescent="0.25">
      <c r="A1289">
        <v>713</v>
      </c>
      <c r="B1289" t="s">
        <v>142</v>
      </c>
      <c r="C1289">
        <v>599</v>
      </c>
      <c r="D1289" t="s">
        <v>129</v>
      </c>
      <c r="E1289" s="6">
        <v>3.46</v>
      </c>
    </row>
    <row r="1290" spans="1:5" ht="15" customHeight="1" x14ac:dyDescent="0.25">
      <c r="A1290">
        <v>713</v>
      </c>
      <c r="B1290" t="s">
        <v>142</v>
      </c>
      <c r="C1290">
        <v>620</v>
      </c>
      <c r="D1290" t="s">
        <v>130</v>
      </c>
      <c r="E1290" s="6">
        <v>42.99</v>
      </c>
    </row>
    <row r="1291" spans="1:5" ht="15" customHeight="1" x14ac:dyDescent="0.25">
      <c r="A1291">
        <v>713</v>
      </c>
      <c r="B1291" t="s">
        <v>142</v>
      </c>
      <c r="C1291">
        <v>626</v>
      </c>
      <c r="D1291" t="s">
        <v>131</v>
      </c>
      <c r="E1291" s="6">
        <v>2.99</v>
      </c>
    </row>
    <row r="1292" spans="1:5" ht="15" customHeight="1" x14ac:dyDescent="0.25">
      <c r="A1292">
        <v>713</v>
      </c>
      <c r="B1292" t="s">
        <v>142</v>
      </c>
      <c r="C1292">
        <v>627</v>
      </c>
      <c r="D1292" t="s">
        <v>132</v>
      </c>
      <c r="E1292" s="6">
        <v>6.17</v>
      </c>
    </row>
    <row r="1293" spans="1:5" ht="15" customHeight="1" x14ac:dyDescent="0.25">
      <c r="A1293">
        <v>713</v>
      </c>
      <c r="B1293" t="s">
        <v>142</v>
      </c>
      <c r="C1293">
        <v>651</v>
      </c>
      <c r="D1293" t="s">
        <v>133</v>
      </c>
      <c r="E1293" s="6">
        <v>4.1900000000000004</v>
      </c>
    </row>
    <row r="1294" spans="1:5" ht="15" customHeight="1" x14ac:dyDescent="0.25">
      <c r="A1294">
        <v>713</v>
      </c>
      <c r="B1294" t="s">
        <v>142</v>
      </c>
      <c r="C1294">
        <v>668</v>
      </c>
      <c r="D1294" t="s">
        <v>134</v>
      </c>
      <c r="E1294" s="6">
        <v>1.62</v>
      </c>
    </row>
    <row r="1295" spans="1:5" ht="15" customHeight="1" x14ac:dyDescent="0.25">
      <c r="A1295">
        <v>713</v>
      </c>
      <c r="B1295" t="s">
        <v>142</v>
      </c>
      <c r="C1295">
        <v>681</v>
      </c>
      <c r="D1295" t="s">
        <v>135</v>
      </c>
      <c r="E1295" s="6">
        <v>4.7699999999999996</v>
      </c>
    </row>
    <row r="1296" spans="1:5" ht="15" customHeight="1" x14ac:dyDescent="0.25">
      <c r="A1296">
        <v>713</v>
      </c>
      <c r="B1296" t="s">
        <v>142</v>
      </c>
      <c r="C1296">
        <v>682</v>
      </c>
      <c r="D1296" t="s">
        <v>136</v>
      </c>
      <c r="E1296" s="6">
        <v>1.62</v>
      </c>
    </row>
    <row r="1297" spans="1:5" ht="15" customHeight="1" x14ac:dyDescent="0.25">
      <c r="A1297">
        <v>713</v>
      </c>
      <c r="B1297" t="s">
        <v>142</v>
      </c>
      <c r="C1297">
        <v>683</v>
      </c>
      <c r="D1297" t="s">
        <v>137</v>
      </c>
      <c r="E1297" s="6">
        <v>2.13</v>
      </c>
    </row>
    <row r="1298" spans="1:5" ht="15" customHeight="1" x14ac:dyDescent="0.25">
      <c r="A1298">
        <v>713</v>
      </c>
      <c r="B1298" t="s">
        <v>142</v>
      </c>
      <c r="C1298">
        <v>684</v>
      </c>
      <c r="D1298" t="s">
        <v>138</v>
      </c>
      <c r="E1298" s="6">
        <v>1.74</v>
      </c>
    </row>
    <row r="1299" spans="1:5" ht="15" customHeight="1" x14ac:dyDescent="0.25">
      <c r="A1299">
        <v>713</v>
      </c>
      <c r="B1299" t="s">
        <v>142</v>
      </c>
      <c r="C1299">
        <v>685</v>
      </c>
      <c r="D1299" t="s">
        <v>139</v>
      </c>
      <c r="E1299" s="6">
        <v>3.18</v>
      </c>
    </row>
    <row r="1300" spans="1:5" ht="15" customHeight="1" x14ac:dyDescent="0.25">
      <c r="A1300">
        <v>713</v>
      </c>
      <c r="B1300" t="s">
        <v>142</v>
      </c>
      <c r="C1300">
        <v>691</v>
      </c>
      <c r="D1300" t="s">
        <v>140</v>
      </c>
      <c r="E1300" s="6">
        <v>4.5999999999999996</v>
      </c>
    </row>
    <row r="1301" spans="1:5" ht="15" customHeight="1" x14ac:dyDescent="0.25">
      <c r="A1301">
        <v>713</v>
      </c>
      <c r="B1301" t="s">
        <v>142</v>
      </c>
      <c r="C1301">
        <v>706</v>
      </c>
      <c r="D1301" t="s">
        <v>141</v>
      </c>
      <c r="E1301" s="6">
        <v>3.72</v>
      </c>
    </row>
    <row r="1302" spans="1:5" ht="15" customHeight="1" x14ac:dyDescent="0.25">
      <c r="A1302">
        <v>713</v>
      </c>
      <c r="B1302" t="s">
        <v>142</v>
      </c>
      <c r="C1302">
        <v>713</v>
      </c>
      <c r="D1302" t="s">
        <v>142</v>
      </c>
      <c r="E1302" s="6">
        <v>0</v>
      </c>
    </row>
    <row r="1303" spans="1:5" ht="15" customHeight="1" x14ac:dyDescent="0.25">
      <c r="A1303">
        <v>713</v>
      </c>
      <c r="B1303" t="s">
        <v>142</v>
      </c>
      <c r="C1303">
        <v>718</v>
      </c>
      <c r="D1303" t="s">
        <v>143</v>
      </c>
      <c r="E1303" s="6">
        <v>3.87</v>
      </c>
    </row>
    <row r="1304" spans="1:5" ht="15" customHeight="1" x14ac:dyDescent="0.25">
      <c r="A1304">
        <v>713</v>
      </c>
      <c r="B1304" t="s">
        <v>142</v>
      </c>
      <c r="C1304">
        <v>731</v>
      </c>
      <c r="D1304" t="s">
        <v>144</v>
      </c>
      <c r="E1304" s="6">
        <v>28.86</v>
      </c>
    </row>
    <row r="1305" spans="1:5" ht="15" customHeight="1" x14ac:dyDescent="0.25">
      <c r="A1305">
        <v>713</v>
      </c>
      <c r="B1305" t="s">
        <v>142</v>
      </c>
      <c r="C1305">
        <v>743</v>
      </c>
      <c r="D1305" t="s">
        <v>145</v>
      </c>
      <c r="E1305" s="6">
        <v>15.2</v>
      </c>
    </row>
    <row r="1306" spans="1:5" ht="15" customHeight="1" x14ac:dyDescent="0.25">
      <c r="A1306">
        <v>713</v>
      </c>
      <c r="B1306" t="s">
        <v>142</v>
      </c>
      <c r="C1306">
        <v>760</v>
      </c>
      <c r="D1306" t="s">
        <v>146</v>
      </c>
      <c r="E1306" s="6">
        <v>3.74</v>
      </c>
    </row>
    <row r="1307" spans="1:5" ht="15" customHeight="1" x14ac:dyDescent="0.25">
      <c r="A1307">
        <v>713</v>
      </c>
      <c r="B1307" t="s">
        <v>142</v>
      </c>
      <c r="C1307">
        <v>765</v>
      </c>
      <c r="D1307" t="s">
        <v>147</v>
      </c>
      <c r="E1307" s="6">
        <v>3.65</v>
      </c>
    </row>
    <row r="1308" spans="1:5" ht="15" customHeight="1" x14ac:dyDescent="0.25">
      <c r="A1308">
        <v>713</v>
      </c>
      <c r="B1308" t="s">
        <v>142</v>
      </c>
      <c r="C1308">
        <v>766</v>
      </c>
      <c r="D1308" t="s">
        <v>148</v>
      </c>
      <c r="E1308" s="6">
        <v>2.79</v>
      </c>
    </row>
    <row r="1309" spans="1:5" ht="15" customHeight="1" x14ac:dyDescent="0.25">
      <c r="A1309">
        <v>713</v>
      </c>
      <c r="B1309" t="s">
        <v>142</v>
      </c>
      <c r="C1309">
        <v>767</v>
      </c>
      <c r="D1309" t="s">
        <v>149</v>
      </c>
      <c r="E1309" s="6">
        <v>7.87</v>
      </c>
    </row>
    <row r="1310" spans="1:5" ht="15" customHeight="1" x14ac:dyDescent="0.25">
      <c r="A1310">
        <v>713</v>
      </c>
      <c r="B1310" t="s">
        <v>142</v>
      </c>
      <c r="C1310">
        <v>795</v>
      </c>
      <c r="D1310" t="s">
        <v>150</v>
      </c>
      <c r="E1310" s="6">
        <v>2.59</v>
      </c>
    </row>
    <row r="1311" spans="1:5" ht="15" customHeight="1" x14ac:dyDescent="0.25">
      <c r="A1311">
        <v>713</v>
      </c>
      <c r="B1311" t="s">
        <v>142</v>
      </c>
      <c r="C1311">
        <v>798</v>
      </c>
      <c r="D1311" t="s">
        <v>151</v>
      </c>
      <c r="E1311" s="6">
        <v>5.7</v>
      </c>
    </row>
    <row r="1312" spans="1:5" ht="15" customHeight="1" x14ac:dyDescent="0.25">
      <c r="A1312">
        <v>713</v>
      </c>
      <c r="B1312" t="s">
        <v>142</v>
      </c>
      <c r="C1312">
        <v>799</v>
      </c>
      <c r="D1312" t="s">
        <v>152</v>
      </c>
      <c r="E1312" s="6">
        <v>2.31</v>
      </c>
    </row>
    <row r="1313" spans="1:5" ht="15" customHeight="1" x14ac:dyDescent="0.25">
      <c r="A1313">
        <v>713</v>
      </c>
      <c r="B1313" t="s">
        <v>142</v>
      </c>
      <c r="C1313">
        <v>811</v>
      </c>
      <c r="D1313" t="s">
        <v>153</v>
      </c>
      <c r="E1313" s="6">
        <v>5.48</v>
      </c>
    </row>
    <row r="1314" spans="1:5" ht="15" customHeight="1" x14ac:dyDescent="0.25">
      <c r="A1314">
        <v>713</v>
      </c>
      <c r="B1314" t="s">
        <v>142</v>
      </c>
      <c r="C1314">
        <v>820</v>
      </c>
      <c r="D1314" t="s">
        <v>154</v>
      </c>
      <c r="E1314" s="6">
        <v>4.46</v>
      </c>
    </row>
    <row r="1315" spans="1:5" ht="15" customHeight="1" x14ac:dyDescent="0.25">
      <c r="A1315">
        <v>713</v>
      </c>
      <c r="B1315" t="s">
        <v>142</v>
      </c>
      <c r="C1315">
        <v>830</v>
      </c>
      <c r="D1315" t="s">
        <v>155</v>
      </c>
      <c r="E1315" s="6">
        <v>4.88</v>
      </c>
    </row>
    <row r="1316" spans="1:5" ht="15" customHeight="1" x14ac:dyDescent="0.25">
      <c r="A1316">
        <v>713</v>
      </c>
      <c r="B1316" t="s">
        <v>142</v>
      </c>
      <c r="C1316">
        <v>831</v>
      </c>
      <c r="D1316" t="s">
        <v>156</v>
      </c>
      <c r="E1316" s="6">
        <v>5.73</v>
      </c>
    </row>
    <row r="1317" spans="1:5" ht="15" customHeight="1" x14ac:dyDescent="0.25">
      <c r="A1317">
        <v>713</v>
      </c>
      <c r="B1317" t="s">
        <v>142</v>
      </c>
      <c r="C1317">
        <v>832</v>
      </c>
      <c r="D1317" t="s">
        <v>157</v>
      </c>
      <c r="E1317" s="6">
        <v>4.53</v>
      </c>
    </row>
    <row r="1318" spans="1:5" ht="15" customHeight="1" x14ac:dyDescent="0.25">
      <c r="A1318">
        <v>713</v>
      </c>
      <c r="B1318" t="s">
        <v>142</v>
      </c>
      <c r="C1318">
        <v>833</v>
      </c>
      <c r="D1318" t="s">
        <v>158</v>
      </c>
      <c r="E1318" s="6">
        <v>2.4900000000000002</v>
      </c>
    </row>
    <row r="1319" spans="1:5" ht="15" customHeight="1" x14ac:dyDescent="0.25">
      <c r="A1319">
        <v>713</v>
      </c>
      <c r="B1319" t="s">
        <v>142</v>
      </c>
      <c r="C1319">
        <v>840</v>
      </c>
      <c r="D1319" t="s">
        <v>159</v>
      </c>
      <c r="E1319" s="6">
        <v>6.35</v>
      </c>
    </row>
    <row r="1320" spans="1:5" ht="15" customHeight="1" x14ac:dyDescent="0.25">
      <c r="A1320">
        <v>713</v>
      </c>
      <c r="B1320" t="s">
        <v>142</v>
      </c>
      <c r="C1320">
        <v>841</v>
      </c>
      <c r="D1320" t="s">
        <v>160</v>
      </c>
      <c r="E1320" s="6">
        <v>3.62</v>
      </c>
    </row>
    <row r="1321" spans="1:5" ht="15" customHeight="1" x14ac:dyDescent="0.25">
      <c r="A1321">
        <v>713</v>
      </c>
      <c r="B1321" t="s">
        <v>142</v>
      </c>
      <c r="C1321">
        <v>842</v>
      </c>
      <c r="D1321" t="s">
        <v>161</v>
      </c>
      <c r="E1321" s="6">
        <v>2.2200000000000002</v>
      </c>
    </row>
    <row r="1322" spans="1:5" ht="15" customHeight="1" x14ac:dyDescent="0.25">
      <c r="A1322">
        <v>713</v>
      </c>
      <c r="B1322" t="s">
        <v>142</v>
      </c>
      <c r="C1322">
        <v>847</v>
      </c>
      <c r="D1322" t="s">
        <v>162</v>
      </c>
      <c r="E1322" s="6">
        <v>3.84</v>
      </c>
    </row>
    <row r="1323" spans="1:5" ht="15" customHeight="1" x14ac:dyDescent="0.25">
      <c r="A1323">
        <v>713</v>
      </c>
      <c r="B1323" t="s">
        <v>142</v>
      </c>
      <c r="C1323">
        <v>877</v>
      </c>
      <c r="D1323" t="s">
        <v>163</v>
      </c>
      <c r="E1323" s="6">
        <v>19.43</v>
      </c>
    </row>
    <row r="1324" spans="1:5" ht="15" customHeight="1" x14ac:dyDescent="0.25">
      <c r="A1324">
        <v>713</v>
      </c>
      <c r="B1324" t="s">
        <v>142</v>
      </c>
      <c r="C1324">
        <v>898</v>
      </c>
      <c r="D1324" t="s">
        <v>164</v>
      </c>
      <c r="E1324" s="6">
        <v>2.69</v>
      </c>
    </row>
    <row r="1325" spans="1:5" ht="15" customHeight="1" x14ac:dyDescent="0.25">
      <c r="A1325">
        <v>713</v>
      </c>
      <c r="B1325" t="s">
        <v>142</v>
      </c>
      <c r="C1325">
        <v>899</v>
      </c>
      <c r="D1325" t="s">
        <v>165</v>
      </c>
      <c r="E1325" s="6">
        <v>3.82</v>
      </c>
    </row>
    <row r="1326" spans="1:5" ht="15" customHeight="1" x14ac:dyDescent="0.25">
      <c r="A1326">
        <v>713</v>
      </c>
      <c r="B1326" t="s">
        <v>142</v>
      </c>
      <c r="C1326">
        <v>1912</v>
      </c>
      <c r="D1326" t="s">
        <v>166</v>
      </c>
      <c r="E1326" s="6">
        <v>24.3</v>
      </c>
    </row>
    <row r="1327" spans="1:5" ht="15" customHeight="1" x14ac:dyDescent="0.25">
      <c r="A1327">
        <v>713</v>
      </c>
      <c r="B1327" t="s">
        <v>142</v>
      </c>
      <c r="C1327">
        <v>9999</v>
      </c>
      <c r="D1327" t="s">
        <v>117</v>
      </c>
      <c r="E1327" s="6">
        <v>1.72</v>
      </c>
    </row>
    <row r="1328" spans="1:5" ht="15" customHeight="1" x14ac:dyDescent="0.25">
      <c r="A1328">
        <v>718</v>
      </c>
      <c r="B1328" t="s">
        <v>143</v>
      </c>
      <c r="C1328">
        <v>1</v>
      </c>
      <c r="D1328" t="s">
        <v>117</v>
      </c>
      <c r="E1328" s="6">
        <v>3.03</v>
      </c>
    </row>
    <row r="1329" spans="1:5" ht="15" customHeight="1" x14ac:dyDescent="0.25">
      <c r="A1329">
        <v>718</v>
      </c>
      <c r="B1329" t="s">
        <v>143</v>
      </c>
      <c r="C1329">
        <v>3</v>
      </c>
      <c r="D1329" t="s">
        <v>118</v>
      </c>
      <c r="E1329" s="6">
        <v>60.48</v>
      </c>
    </row>
    <row r="1330" spans="1:5" ht="15" customHeight="1" x14ac:dyDescent="0.25">
      <c r="A1330">
        <v>718</v>
      </c>
      <c r="B1330" t="s">
        <v>143</v>
      </c>
      <c r="C1330">
        <v>5</v>
      </c>
      <c r="D1330" t="s">
        <v>119</v>
      </c>
      <c r="E1330" s="6">
        <v>107.65</v>
      </c>
    </row>
    <row r="1331" spans="1:5" ht="15" customHeight="1" x14ac:dyDescent="0.25">
      <c r="A1331">
        <v>718</v>
      </c>
      <c r="B1331" t="s">
        <v>143</v>
      </c>
      <c r="C1331">
        <v>11</v>
      </c>
      <c r="D1331" t="s">
        <v>120</v>
      </c>
      <c r="E1331" s="6">
        <v>88.38</v>
      </c>
    </row>
    <row r="1332" spans="1:5" ht="15" customHeight="1" x14ac:dyDescent="0.25">
      <c r="A1332">
        <v>718</v>
      </c>
      <c r="B1332" t="s">
        <v>143</v>
      </c>
      <c r="C1332">
        <v>12</v>
      </c>
      <c r="D1332" t="s">
        <v>121</v>
      </c>
      <c r="E1332" s="6">
        <v>54.01</v>
      </c>
    </row>
    <row r="1333" spans="1:5" ht="15" customHeight="1" x14ac:dyDescent="0.25">
      <c r="A1333">
        <v>718</v>
      </c>
      <c r="B1333" t="s">
        <v>143</v>
      </c>
      <c r="C1333">
        <v>29</v>
      </c>
      <c r="D1333" t="s">
        <v>122</v>
      </c>
      <c r="E1333" s="6">
        <v>121.06</v>
      </c>
    </row>
    <row r="1334" spans="1:5" ht="15" customHeight="1" x14ac:dyDescent="0.25">
      <c r="A1334">
        <v>718</v>
      </c>
      <c r="B1334" t="s">
        <v>143</v>
      </c>
      <c r="C1334">
        <v>70</v>
      </c>
      <c r="D1334" t="s">
        <v>123</v>
      </c>
      <c r="E1334" s="6">
        <v>79.38</v>
      </c>
    </row>
    <row r="1335" spans="1:5" ht="15" customHeight="1" x14ac:dyDescent="0.25">
      <c r="A1335">
        <v>718</v>
      </c>
      <c r="B1335" t="s">
        <v>143</v>
      </c>
      <c r="C1335">
        <v>71</v>
      </c>
      <c r="D1335" t="s">
        <v>124</v>
      </c>
      <c r="E1335" s="6">
        <v>122.65</v>
      </c>
    </row>
    <row r="1336" spans="1:5" ht="15" customHeight="1" x14ac:dyDescent="0.25">
      <c r="A1336">
        <v>718</v>
      </c>
      <c r="B1336" t="s">
        <v>143</v>
      </c>
      <c r="C1336">
        <v>384</v>
      </c>
      <c r="D1336" t="s">
        <v>125</v>
      </c>
      <c r="E1336" s="6">
        <v>2.78</v>
      </c>
    </row>
    <row r="1337" spans="1:5" ht="15" customHeight="1" x14ac:dyDescent="0.25">
      <c r="A1337">
        <v>718</v>
      </c>
      <c r="B1337" t="s">
        <v>143</v>
      </c>
      <c r="C1337">
        <v>429</v>
      </c>
      <c r="D1337" t="s">
        <v>126</v>
      </c>
      <c r="E1337" s="6">
        <v>66.569999999999993</v>
      </c>
    </row>
    <row r="1338" spans="1:5" ht="15" customHeight="1" x14ac:dyDescent="0.25">
      <c r="A1338">
        <v>718</v>
      </c>
      <c r="B1338" t="s">
        <v>143</v>
      </c>
      <c r="C1338">
        <v>486</v>
      </c>
      <c r="D1338" t="s">
        <v>127</v>
      </c>
      <c r="E1338" s="6">
        <v>66.45</v>
      </c>
    </row>
    <row r="1339" spans="1:5" ht="15" customHeight="1" x14ac:dyDescent="0.25">
      <c r="A1339">
        <v>718</v>
      </c>
      <c r="B1339" t="s">
        <v>143</v>
      </c>
      <c r="C1339">
        <v>546</v>
      </c>
      <c r="D1339" t="s">
        <v>128</v>
      </c>
      <c r="E1339" s="6">
        <v>73.88</v>
      </c>
    </row>
    <row r="1340" spans="1:5" ht="15" customHeight="1" x14ac:dyDescent="0.25">
      <c r="A1340">
        <v>718</v>
      </c>
      <c r="B1340" t="s">
        <v>143</v>
      </c>
      <c r="C1340">
        <v>599</v>
      </c>
      <c r="D1340" t="s">
        <v>129</v>
      </c>
      <c r="E1340" s="6">
        <v>6.8</v>
      </c>
    </row>
    <row r="1341" spans="1:5" ht="15" customHeight="1" x14ac:dyDescent="0.25">
      <c r="A1341">
        <v>718</v>
      </c>
      <c r="B1341" t="s">
        <v>143</v>
      </c>
      <c r="C1341">
        <v>620</v>
      </c>
      <c r="D1341" t="s">
        <v>130</v>
      </c>
      <c r="E1341" s="6">
        <v>39.39</v>
      </c>
    </row>
    <row r="1342" spans="1:5" ht="15" customHeight="1" x14ac:dyDescent="0.25">
      <c r="A1342">
        <v>718</v>
      </c>
      <c r="B1342" t="s">
        <v>143</v>
      </c>
      <c r="C1342">
        <v>626</v>
      </c>
      <c r="D1342" t="s">
        <v>131</v>
      </c>
      <c r="E1342" s="6">
        <v>6.46</v>
      </c>
    </row>
    <row r="1343" spans="1:5" ht="15" customHeight="1" x14ac:dyDescent="0.25">
      <c r="A1343">
        <v>718</v>
      </c>
      <c r="B1343" t="s">
        <v>143</v>
      </c>
      <c r="C1343">
        <v>627</v>
      </c>
      <c r="D1343" t="s">
        <v>132</v>
      </c>
      <c r="E1343" s="6">
        <v>2.4300000000000002</v>
      </c>
    </row>
    <row r="1344" spans="1:5" ht="15" customHeight="1" x14ac:dyDescent="0.25">
      <c r="A1344">
        <v>718</v>
      </c>
      <c r="B1344" t="s">
        <v>143</v>
      </c>
      <c r="C1344">
        <v>651</v>
      </c>
      <c r="D1344" t="s">
        <v>133</v>
      </c>
      <c r="E1344" s="6">
        <v>2.85</v>
      </c>
    </row>
    <row r="1345" spans="1:5" ht="15" customHeight="1" x14ac:dyDescent="0.25">
      <c r="A1345">
        <v>718</v>
      </c>
      <c r="B1345" t="s">
        <v>143</v>
      </c>
      <c r="C1345">
        <v>668</v>
      </c>
      <c r="D1345" t="s">
        <v>134</v>
      </c>
      <c r="E1345" s="6">
        <v>5.42</v>
      </c>
    </row>
    <row r="1346" spans="1:5" ht="15" customHeight="1" x14ac:dyDescent="0.25">
      <c r="A1346">
        <v>718</v>
      </c>
      <c r="B1346" t="s">
        <v>143</v>
      </c>
      <c r="C1346">
        <v>681</v>
      </c>
      <c r="D1346" t="s">
        <v>135</v>
      </c>
      <c r="E1346" s="6">
        <v>5.14</v>
      </c>
    </row>
    <row r="1347" spans="1:5" ht="15" customHeight="1" x14ac:dyDescent="0.25">
      <c r="A1347">
        <v>718</v>
      </c>
      <c r="B1347" t="s">
        <v>143</v>
      </c>
      <c r="C1347">
        <v>682</v>
      </c>
      <c r="D1347" t="s">
        <v>136</v>
      </c>
      <c r="E1347" s="6">
        <v>2.5099999999999998</v>
      </c>
    </row>
    <row r="1348" spans="1:5" ht="15" customHeight="1" x14ac:dyDescent="0.25">
      <c r="A1348">
        <v>718</v>
      </c>
      <c r="B1348" t="s">
        <v>143</v>
      </c>
      <c r="C1348">
        <v>683</v>
      </c>
      <c r="D1348" t="s">
        <v>137</v>
      </c>
      <c r="E1348" s="6">
        <v>2.58</v>
      </c>
    </row>
    <row r="1349" spans="1:5" ht="15" customHeight="1" x14ac:dyDescent="0.25">
      <c r="A1349">
        <v>718</v>
      </c>
      <c r="B1349" t="s">
        <v>143</v>
      </c>
      <c r="C1349">
        <v>684</v>
      </c>
      <c r="D1349" t="s">
        <v>138</v>
      </c>
      <c r="E1349" s="6">
        <v>4.37</v>
      </c>
    </row>
    <row r="1350" spans="1:5" ht="15" customHeight="1" x14ac:dyDescent="0.25">
      <c r="A1350">
        <v>718</v>
      </c>
      <c r="B1350" t="s">
        <v>143</v>
      </c>
      <c r="C1350">
        <v>685</v>
      </c>
      <c r="D1350" t="s">
        <v>139</v>
      </c>
      <c r="E1350" s="6">
        <v>4.41</v>
      </c>
    </row>
    <row r="1351" spans="1:5" ht="15" customHeight="1" x14ac:dyDescent="0.25">
      <c r="A1351">
        <v>718</v>
      </c>
      <c r="B1351" t="s">
        <v>143</v>
      </c>
      <c r="C1351">
        <v>691</v>
      </c>
      <c r="D1351" t="s">
        <v>140</v>
      </c>
      <c r="E1351" s="6">
        <v>5.35</v>
      </c>
    </row>
    <row r="1352" spans="1:5" ht="15" customHeight="1" x14ac:dyDescent="0.25">
      <c r="A1352">
        <v>718</v>
      </c>
      <c r="B1352" t="s">
        <v>143</v>
      </c>
      <c r="C1352">
        <v>706</v>
      </c>
      <c r="D1352" t="s">
        <v>141</v>
      </c>
      <c r="E1352" s="6">
        <v>2.58</v>
      </c>
    </row>
    <row r="1353" spans="1:5" ht="15" customHeight="1" x14ac:dyDescent="0.25">
      <c r="A1353">
        <v>718</v>
      </c>
      <c r="B1353" t="s">
        <v>143</v>
      </c>
      <c r="C1353">
        <v>713</v>
      </c>
      <c r="D1353" t="s">
        <v>142</v>
      </c>
      <c r="E1353" s="6">
        <v>3.87</v>
      </c>
    </row>
    <row r="1354" spans="1:5" ht="15" customHeight="1" x14ac:dyDescent="0.25">
      <c r="A1354">
        <v>718</v>
      </c>
      <c r="B1354" t="s">
        <v>143</v>
      </c>
      <c r="C1354">
        <v>718</v>
      </c>
      <c r="D1354" t="s">
        <v>143</v>
      </c>
      <c r="E1354" s="6">
        <v>0</v>
      </c>
    </row>
    <row r="1355" spans="1:5" ht="15" customHeight="1" x14ac:dyDescent="0.25">
      <c r="A1355">
        <v>718</v>
      </c>
      <c r="B1355" t="s">
        <v>143</v>
      </c>
      <c r="C1355">
        <v>731</v>
      </c>
      <c r="D1355" t="s">
        <v>144</v>
      </c>
      <c r="E1355" s="6">
        <v>32.51</v>
      </c>
    </row>
    <row r="1356" spans="1:5" ht="15" customHeight="1" x14ac:dyDescent="0.25">
      <c r="A1356">
        <v>718</v>
      </c>
      <c r="B1356" t="s">
        <v>143</v>
      </c>
      <c r="C1356">
        <v>743</v>
      </c>
      <c r="D1356" t="s">
        <v>145</v>
      </c>
      <c r="E1356" s="6">
        <v>17.54</v>
      </c>
    </row>
    <row r="1357" spans="1:5" ht="15" customHeight="1" x14ac:dyDescent="0.25">
      <c r="A1357">
        <v>718</v>
      </c>
      <c r="B1357" t="s">
        <v>143</v>
      </c>
      <c r="C1357">
        <v>760</v>
      </c>
      <c r="D1357" t="s">
        <v>146</v>
      </c>
      <c r="E1357" s="6">
        <v>4.97</v>
      </c>
    </row>
    <row r="1358" spans="1:5" ht="15" customHeight="1" x14ac:dyDescent="0.25">
      <c r="A1358">
        <v>718</v>
      </c>
      <c r="B1358" t="s">
        <v>143</v>
      </c>
      <c r="C1358">
        <v>765</v>
      </c>
      <c r="D1358" t="s">
        <v>147</v>
      </c>
      <c r="E1358" s="6">
        <v>7.31</v>
      </c>
    </row>
    <row r="1359" spans="1:5" ht="15" customHeight="1" x14ac:dyDescent="0.25">
      <c r="A1359">
        <v>718</v>
      </c>
      <c r="B1359" t="s">
        <v>143</v>
      </c>
      <c r="C1359">
        <v>766</v>
      </c>
      <c r="D1359" t="s">
        <v>148</v>
      </c>
      <c r="E1359" s="6">
        <v>1.26</v>
      </c>
    </row>
    <row r="1360" spans="1:5" ht="15" customHeight="1" x14ac:dyDescent="0.25">
      <c r="A1360">
        <v>718</v>
      </c>
      <c r="B1360" t="s">
        <v>143</v>
      </c>
      <c r="C1360">
        <v>767</v>
      </c>
      <c r="D1360" t="s">
        <v>149</v>
      </c>
      <c r="E1360" s="6">
        <v>4.83</v>
      </c>
    </row>
    <row r="1361" spans="1:5" ht="15" customHeight="1" x14ac:dyDescent="0.25">
      <c r="A1361">
        <v>718</v>
      </c>
      <c r="B1361" t="s">
        <v>143</v>
      </c>
      <c r="C1361">
        <v>795</v>
      </c>
      <c r="D1361" t="s">
        <v>150</v>
      </c>
      <c r="E1361" s="6">
        <v>4.1900000000000004</v>
      </c>
    </row>
    <row r="1362" spans="1:5" ht="15" customHeight="1" x14ac:dyDescent="0.25">
      <c r="A1362">
        <v>718</v>
      </c>
      <c r="B1362" t="s">
        <v>143</v>
      </c>
      <c r="C1362">
        <v>798</v>
      </c>
      <c r="D1362" t="s">
        <v>151</v>
      </c>
      <c r="E1362" s="6">
        <v>6.89</v>
      </c>
    </row>
    <row r="1363" spans="1:5" ht="15" customHeight="1" x14ac:dyDescent="0.25">
      <c r="A1363">
        <v>718</v>
      </c>
      <c r="B1363" t="s">
        <v>143</v>
      </c>
      <c r="C1363">
        <v>799</v>
      </c>
      <c r="D1363" t="s">
        <v>152</v>
      </c>
      <c r="E1363" s="6">
        <v>6.01</v>
      </c>
    </row>
    <row r="1364" spans="1:5" ht="15" customHeight="1" x14ac:dyDescent="0.25">
      <c r="A1364">
        <v>718</v>
      </c>
      <c r="B1364" t="s">
        <v>143</v>
      </c>
      <c r="C1364">
        <v>811</v>
      </c>
      <c r="D1364" t="s">
        <v>153</v>
      </c>
      <c r="E1364" s="6">
        <v>3.59</v>
      </c>
    </row>
    <row r="1365" spans="1:5" ht="15" customHeight="1" x14ac:dyDescent="0.25">
      <c r="A1365">
        <v>718</v>
      </c>
      <c r="B1365" t="s">
        <v>143</v>
      </c>
      <c r="C1365">
        <v>820</v>
      </c>
      <c r="D1365" t="s">
        <v>154</v>
      </c>
      <c r="E1365" s="6">
        <v>5.91</v>
      </c>
    </row>
    <row r="1366" spans="1:5" ht="15" customHeight="1" x14ac:dyDescent="0.25">
      <c r="A1366">
        <v>718</v>
      </c>
      <c r="B1366" t="s">
        <v>143</v>
      </c>
      <c r="C1366">
        <v>830</v>
      </c>
      <c r="D1366" t="s">
        <v>155</v>
      </c>
      <c r="E1366" s="6">
        <v>6.05</v>
      </c>
    </row>
    <row r="1367" spans="1:5" ht="15" customHeight="1" x14ac:dyDescent="0.25">
      <c r="A1367">
        <v>718</v>
      </c>
      <c r="B1367" t="s">
        <v>143</v>
      </c>
      <c r="C1367">
        <v>831</v>
      </c>
      <c r="D1367" t="s">
        <v>156</v>
      </c>
      <c r="E1367" s="6">
        <v>9.1999999999999993</v>
      </c>
    </row>
    <row r="1368" spans="1:5" ht="15" customHeight="1" x14ac:dyDescent="0.25">
      <c r="A1368">
        <v>718</v>
      </c>
      <c r="B1368" t="s">
        <v>143</v>
      </c>
      <c r="C1368">
        <v>832</v>
      </c>
      <c r="D1368" t="s">
        <v>157</v>
      </c>
      <c r="E1368" s="6">
        <v>6.21</v>
      </c>
    </row>
    <row r="1369" spans="1:5" ht="15" customHeight="1" x14ac:dyDescent="0.25">
      <c r="A1369">
        <v>718</v>
      </c>
      <c r="B1369" t="s">
        <v>143</v>
      </c>
      <c r="C1369">
        <v>833</v>
      </c>
      <c r="D1369" t="s">
        <v>158</v>
      </c>
      <c r="E1369" s="6">
        <v>5.0199999999999996</v>
      </c>
    </row>
    <row r="1370" spans="1:5" ht="15" customHeight="1" x14ac:dyDescent="0.25">
      <c r="A1370">
        <v>718</v>
      </c>
      <c r="B1370" t="s">
        <v>143</v>
      </c>
      <c r="C1370">
        <v>840</v>
      </c>
      <c r="D1370" t="s">
        <v>159</v>
      </c>
      <c r="E1370" s="6">
        <v>8.42</v>
      </c>
    </row>
    <row r="1371" spans="1:5" ht="15" customHeight="1" x14ac:dyDescent="0.25">
      <c r="A1371">
        <v>718</v>
      </c>
      <c r="B1371" t="s">
        <v>143</v>
      </c>
      <c r="C1371">
        <v>841</v>
      </c>
      <c r="D1371" t="s">
        <v>160</v>
      </c>
      <c r="E1371" s="6">
        <v>3.81</v>
      </c>
    </row>
    <row r="1372" spans="1:5" ht="15" customHeight="1" x14ac:dyDescent="0.25">
      <c r="A1372">
        <v>718</v>
      </c>
      <c r="B1372" t="s">
        <v>143</v>
      </c>
      <c r="C1372">
        <v>842</v>
      </c>
      <c r="D1372" t="s">
        <v>161</v>
      </c>
      <c r="E1372" s="6">
        <v>3.8</v>
      </c>
    </row>
    <row r="1373" spans="1:5" ht="15" customHeight="1" x14ac:dyDescent="0.25">
      <c r="A1373">
        <v>718</v>
      </c>
      <c r="B1373" t="s">
        <v>143</v>
      </c>
      <c r="C1373">
        <v>847</v>
      </c>
      <c r="D1373" t="s">
        <v>162</v>
      </c>
      <c r="E1373" s="6">
        <v>3.5</v>
      </c>
    </row>
    <row r="1374" spans="1:5" ht="15" customHeight="1" x14ac:dyDescent="0.25">
      <c r="A1374">
        <v>718</v>
      </c>
      <c r="B1374" t="s">
        <v>143</v>
      </c>
      <c r="C1374">
        <v>877</v>
      </c>
      <c r="D1374" t="s">
        <v>163</v>
      </c>
      <c r="E1374" s="6">
        <v>23.15</v>
      </c>
    </row>
    <row r="1375" spans="1:5" ht="15" customHeight="1" x14ac:dyDescent="0.25">
      <c r="A1375">
        <v>718</v>
      </c>
      <c r="B1375" t="s">
        <v>143</v>
      </c>
      <c r="C1375">
        <v>898</v>
      </c>
      <c r="D1375" t="s">
        <v>164</v>
      </c>
      <c r="E1375" s="6">
        <v>6.55</v>
      </c>
    </row>
    <row r="1376" spans="1:5" ht="15" customHeight="1" x14ac:dyDescent="0.25">
      <c r="A1376">
        <v>718</v>
      </c>
      <c r="B1376" t="s">
        <v>143</v>
      </c>
      <c r="C1376">
        <v>899</v>
      </c>
      <c r="D1376" t="s">
        <v>165</v>
      </c>
      <c r="E1376" s="6">
        <v>2.73</v>
      </c>
    </row>
    <row r="1377" spans="1:5" ht="15" customHeight="1" x14ac:dyDescent="0.25">
      <c r="A1377">
        <v>718</v>
      </c>
      <c r="B1377" t="s">
        <v>143</v>
      </c>
      <c r="C1377">
        <v>1912</v>
      </c>
      <c r="D1377" t="s">
        <v>166</v>
      </c>
      <c r="E1377" s="6">
        <v>27.83</v>
      </c>
    </row>
    <row r="1378" spans="1:5" ht="15" customHeight="1" x14ac:dyDescent="0.25">
      <c r="A1378">
        <v>718</v>
      </c>
      <c r="B1378" t="s">
        <v>143</v>
      </c>
      <c r="C1378">
        <v>9999</v>
      </c>
      <c r="D1378" t="s">
        <v>117</v>
      </c>
      <c r="E1378" s="6">
        <v>3.03</v>
      </c>
    </row>
    <row r="1379" spans="1:5" ht="15" customHeight="1" x14ac:dyDescent="0.25">
      <c r="A1379">
        <v>731</v>
      </c>
      <c r="B1379" t="s">
        <v>144</v>
      </c>
      <c r="C1379">
        <v>1</v>
      </c>
      <c r="D1379" t="s">
        <v>117</v>
      </c>
      <c r="E1379" s="6">
        <v>30.38</v>
      </c>
    </row>
    <row r="1380" spans="1:5" ht="15" customHeight="1" x14ac:dyDescent="0.25">
      <c r="A1380">
        <v>731</v>
      </c>
      <c r="B1380" t="s">
        <v>144</v>
      </c>
      <c r="C1380">
        <v>3</v>
      </c>
      <c r="D1380" t="s">
        <v>118</v>
      </c>
      <c r="E1380" s="6">
        <v>28.17</v>
      </c>
    </row>
    <row r="1381" spans="1:5" ht="15" customHeight="1" x14ac:dyDescent="0.25">
      <c r="A1381">
        <v>731</v>
      </c>
      <c r="B1381" t="s">
        <v>144</v>
      </c>
      <c r="C1381">
        <v>5</v>
      </c>
      <c r="D1381" t="s">
        <v>119</v>
      </c>
      <c r="E1381" s="6">
        <v>75.84</v>
      </c>
    </row>
    <row r="1382" spans="1:5" ht="15" customHeight="1" x14ac:dyDescent="0.25">
      <c r="A1382">
        <v>731</v>
      </c>
      <c r="B1382" t="s">
        <v>144</v>
      </c>
      <c r="C1382">
        <v>11</v>
      </c>
      <c r="D1382" t="s">
        <v>120</v>
      </c>
      <c r="E1382" s="6">
        <v>60.18</v>
      </c>
    </row>
    <row r="1383" spans="1:5" ht="15" customHeight="1" x14ac:dyDescent="0.25">
      <c r="A1383">
        <v>731</v>
      </c>
      <c r="B1383" t="s">
        <v>144</v>
      </c>
      <c r="C1383">
        <v>12</v>
      </c>
      <c r="D1383" t="s">
        <v>121</v>
      </c>
      <c r="E1383" s="6">
        <v>47.84</v>
      </c>
    </row>
    <row r="1384" spans="1:5" ht="15" customHeight="1" x14ac:dyDescent="0.25">
      <c r="A1384">
        <v>731</v>
      </c>
      <c r="B1384" t="s">
        <v>144</v>
      </c>
      <c r="C1384">
        <v>29</v>
      </c>
      <c r="D1384" t="s">
        <v>122</v>
      </c>
      <c r="E1384" s="6">
        <v>143.69</v>
      </c>
    </row>
    <row r="1385" spans="1:5" ht="15" customHeight="1" x14ac:dyDescent="0.25">
      <c r="A1385">
        <v>731</v>
      </c>
      <c r="B1385" t="s">
        <v>144</v>
      </c>
      <c r="C1385">
        <v>70</v>
      </c>
      <c r="D1385" t="s">
        <v>123</v>
      </c>
      <c r="E1385" s="6">
        <v>86.44</v>
      </c>
    </row>
    <row r="1386" spans="1:5" ht="15" customHeight="1" x14ac:dyDescent="0.25">
      <c r="A1386">
        <v>731</v>
      </c>
      <c r="B1386" t="s">
        <v>144</v>
      </c>
      <c r="C1386">
        <v>71</v>
      </c>
      <c r="D1386" t="s">
        <v>124</v>
      </c>
      <c r="E1386" s="6">
        <v>146.72999999999999</v>
      </c>
    </row>
    <row r="1387" spans="1:5" ht="15" customHeight="1" x14ac:dyDescent="0.25">
      <c r="A1387">
        <v>731</v>
      </c>
      <c r="B1387" t="s">
        <v>144</v>
      </c>
      <c r="C1387">
        <v>384</v>
      </c>
      <c r="D1387" t="s">
        <v>125</v>
      </c>
      <c r="E1387" s="6">
        <v>31.2</v>
      </c>
    </row>
    <row r="1388" spans="1:5" ht="15" customHeight="1" x14ac:dyDescent="0.25">
      <c r="A1388">
        <v>731</v>
      </c>
      <c r="B1388" t="s">
        <v>144</v>
      </c>
      <c r="C1388">
        <v>429</v>
      </c>
      <c r="D1388" t="s">
        <v>126</v>
      </c>
      <c r="E1388" s="6">
        <v>91.78</v>
      </c>
    </row>
    <row r="1389" spans="1:5" ht="15" customHeight="1" x14ac:dyDescent="0.25">
      <c r="A1389">
        <v>731</v>
      </c>
      <c r="B1389" t="s">
        <v>144</v>
      </c>
      <c r="C1389">
        <v>486</v>
      </c>
      <c r="D1389" t="s">
        <v>127</v>
      </c>
      <c r="E1389" s="6">
        <v>50.79</v>
      </c>
    </row>
    <row r="1390" spans="1:5" ht="15" customHeight="1" x14ac:dyDescent="0.25">
      <c r="A1390">
        <v>731</v>
      </c>
      <c r="B1390" t="s">
        <v>144</v>
      </c>
      <c r="C1390">
        <v>546</v>
      </c>
      <c r="D1390" t="s">
        <v>128</v>
      </c>
      <c r="E1390" s="6">
        <v>44.13</v>
      </c>
    </row>
    <row r="1391" spans="1:5" ht="15" customHeight="1" x14ac:dyDescent="0.25">
      <c r="A1391">
        <v>731</v>
      </c>
      <c r="B1391" t="s">
        <v>144</v>
      </c>
      <c r="C1391">
        <v>599</v>
      </c>
      <c r="D1391" t="s">
        <v>129</v>
      </c>
      <c r="E1391" s="6">
        <v>25.72</v>
      </c>
    </row>
    <row r="1392" spans="1:5" ht="15" customHeight="1" x14ac:dyDescent="0.25">
      <c r="A1392">
        <v>731</v>
      </c>
      <c r="B1392" t="s">
        <v>144</v>
      </c>
      <c r="C1392">
        <v>620</v>
      </c>
      <c r="D1392" t="s">
        <v>130</v>
      </c>
      <c r="E1392" s="6">
        <v>71.84</v>
      </c>
    </row>
    <row r="1393" spans="1:5" ht="15" customHeight="1" x14ac:dyDescent="0.25">
      <c r="A1393">
        <v>731</v>
      </c>
      <c r="B1393" t="s">
        <v>144</v>
      </c>
      <c r="C1393">
        <v>626</v>
      </c>
      <c r="D1393" t="s">
        <v>131</v>
      </c>
      <c r="E1393" s="6">
        <v>27.47</v>
      </c>
    </row>
    <row r="1394" spans="1:5" ht="15" customHeight="1" x14ac:dyDescent="0.25">
      <c r="A1394">
        <v>731</v>
      </c>
      <c r="B1394" t="s">
        <v>144</v>
      </c>
      <c r="C1394">
        <v>627</v>
      </c>
      <c r="D1394" t="s">
        <v>132</v>
      </c>
      <c r="E1394" s="6">
        <v>34.93</v>
      </c>
    </row>
    <row r="1395" spans="1:5" ht="15" customHeight="1" x14ac:dyDescent="0.25">
      <c r="A1395">
        <v>731</v>
      </c>
      <c r="B1395" t="s">
        <v>144</v>
      </c>
      <c r="C1395">
        <v>651</v>
      </c>
      <c r="D1395" t="s">
        <v>133</v>
      </c>
      <c r="E1395" s="6">
        <v>32.79</v>
      </c>
    </row>
    <row r="1396" spans="1:5" ht="15" customHeight="1" x14ac:dyDescent="0.25">
      <c r="A1396">
        <v>731</v>
      </c>
      <c r="B1396" t="s">
        <v>144</v>
      </c>
      <c r="C1396">
        <v>668</v>
      </c>
      <c r="D1396" t="s">
        <v>134</v>
      </c>
      <c r="E1396" s="6">
        <v>27.23</v>
      </c>
    </row>
    <row r="1397" spans="1:5" ht="15" customHeight="1" x14ac:dyDescent="0.25">
      <c r="A1397">
        <v>731</v>
      </c>
      <c r="B1397" t="s">
        <v>144</v>
      </c>
      <c r="C1397">
        <v>681</v>
      </c>
      <c r="D1397" t="s">
        <v>135</v>
      </c>
      <c r="E1397" s="6">
        <v>32.01</v>
      </c>
    </row>
    <row r="1398" spans="1:5" ht="15" customHeight="1" x14ac:dyDescent="0.25">
      <c r="A1398">
        <v>731</v>
      </c>
      <c r="B1398" t="s">
        <v>144</v>
      </c>
      <c r="C1398">
        <v>682</v>
      </c>
      <c r="D1398" t="s">
        <v>136</v>
      </c>
      <c r="E1398" s="6">
        <v>30.47</v>
      </c>
    </row>
    <row r="1399" spans="1:5" ht="15" customHeight="1" x14ac:dyDescent="0.25">
      <c r="A1399">
        <v>731</v>
      </c>
      <c r="B1399" t="s">
        <v>144</v>
      </c>
      <c r="C1399">
        <v>683</v>
      </c>
      <c r="D1399" t="s">
        <v>137</v>
      </c>
      <c r="E1399" s="6">
        <v>30.88</v>
      </c>
    </row>
    <row r="1400" spans="1:5" ht="15" customHeight="1" x14ac:dyDescent="0.25">
      <c r="A1400">
        <v>731</v>
      </c>
      <c r="B1400" t="s">
        <v>144</v>
      </c>
      <c r="C1400">
        <v>684</v>
      </c>
      <c r="D1400" t="s">
        <v>138</v>
      </c>
      <c r="E1400" s="6">
        <v>29.36</v>
      </c>
    </row>
    <row r="1401" spans="1:5" ht="15" customHeight="1" x14ac:dyDescent="0.25">
      <c r="A1401">
        <v>731</v>
      </c>
      <c r="B1401" t="s">
        <v>144</v>
      </c>
      <c r="C1401">
        <v>685</v>
      </c>
      <c r="D1401" t="s">
        <v>139</v>
      </c>
      <c r="E1401" s="6">
        <v>30.71</v>
      </c>
    </row>
    <row r="1402" spans="1:5" ht="15" customHeight="1" x14ac:dyDescent="0.25">
      <c r="A1402">
        <v>731</v>
      </c>
      <c r="B1402" t="s">
        <v>144</v>
      </c>
      <c r="C1402">
        <v>691</v>
      </c>
      <c r="D1402" t="s">
        <v>140</v>
      </c>
      <c r="E1402" s="6">
        <v>31.55</v>
      </c>
    </row>
    <row r="1403" spans="1:5" ht="15" customHeight="1" x14ac:dyDescent="0.25">
      <c r="A1403">
        <v>731</v>
      </c>
      <c r="B1403" t="s">
        <v>144</v>
      </c>
      <c r="C1403">
        <v>706</v>
      </c>
      <c r="D1403" t="s">
        <v>141</v>
      </c>
      <c r="E1403" s="6">
        <v>32.380000000000003</v>
      </c>
    </row>
    <row r="1404" spans="1:5" ht="15" customHeight="1" x14ac:dyDescent="0.25">
      <c r="A1404">
        <v>731</v>
      </c>
      <c r="B1404" t="s">
        <v>144</v>
      </c>
      <c r="C1404">
        <v>713</v>
      </c>
      <c r="D1404" t="s">
        <v>142</v>
      </c>
      <c r="E1404" s="6">
        <v>28.86</v>
      </c>
    </row>
    <row r="1405" spans="1:5" ht="15" customHeight="1" x14ac:dyDescent="0.25">
      <c r="A1405">
        <v>731</v>
      </c>
      <c r="B1405" t="s">
        <v>144</v>
      </c>
      <c r="C1405">
        <v>718</v>
      </c>
      <c r="D1405" t="s">
        <v>143</v>
      </c>
      <c r="E1405" s="6">
        <v>32.51</v>
      </c>
    </row>
    <row r="1406" spans="1:5" ht="15" customHeight="1" x14ac:dyDescent="0.25">
      <c r="A1406">
        <v>731</v>
      </c>
      <c r="B1406" t="s">
        <v>144</v>
      </c>
      <c r="C1406">
        <v>731</v>
      </c>
      <c r="D1406" t="s">
        <v>144</v>
      </c>
      <c r="E1406" s="6">
        <v>0</v>
      </c>
    </row>
    <row r="1407" spans="1:5" ht="15" customHeight="1" x14ac:dyDescent="0.25">
      <c r="A1407">
        <v>731</v>
      </c>
      <c r="B1407" t="s">
        <v>144</v>
      </c>
      <c r="C1407">
        <v>743</v>
      </c>
      <c r="D1407" t="s">
        <v>145</v>
      </c>
      <c r="E1407" s="6">
        <v>29.79</v>
      </c>
    </row>
    <row r="1408" spans="1:5" ht="15" customHeight="1" x14ac:dyDescent="0.25">
      <c r="A1408">
        <v>731</v>
      </c>
      <c r="B1408" t="s">
        <v>144</v>
      </c>
      <c r="C1408">
        <v>760</v>
      </c>
      <c r="D1408" t="s">
        <v>146</v>
      </c>
      <c r="E1408" s="6">
        <v>30.82</v>
      </c>
    </row>
    <row r="1409" spans="1:5" ht="15" customHeight="1" x14ac:dyDescent="0.25">
      <c r="A1409">
        <v>731</v>
      </c>
      <c r="B1409" t="s">
        <v>144</v>
      </c>
      <c r="C1409">
        <v>765</v>
      </c>
      <c r="D1409" t="s">
        <v>147</v>
      </c>
      <c r="E1409" s="6">
        <v>26.5</v>
      </c>
    </row>
    <row r="1410" spans="1:5" ht="15" customHeight="1" x14ac:dyDescent="0.25">
      <c r="A1410">
        <v>731</v>
      </c>
      <c r="B1410" t="s">
        <v>144</v>
      </c>
      <c r="C1410">
        <v>766</v>
      </c>
      <c r="D1410" t="s">
        <v>148</v>
      </c>
      <c r="E1410" s="6">
        <v>31.62</v>
      </c>
    </row>
    <row r="1411" spans="1:5" ht="15" customHeight="1" x14ac:dyDescent="0.25">
      <c r="A1411">
        <v>731</v>
      </c>
      <c r="B1411" t="s">
        <v>144</v>
      </c>
      <c r="C1411">
        <v>767</v>
      </c>
      <c r="D1411" t="s">
        <v>149</v>
      </c>
      <c r="E1411" s="6">
        <v>36.659999999999997</v>
      </c>
    </row>
    <row r="1412" spans="1:5" ht="15" customHeight="1" x14ac:dyDescent="0.25">
      <c r="A1412">
        <v>731</v>
      </c>
      <c r="B1412" t="s">
        <v>144</v>
      </c>
      <c r="C1412">
        <v>795</v>
      </c>
      <c r="D1412" t="s">
        <v>150</v>
      </c>
      <c r="E1412" s="6">
        <v>30.3</v>
      </c>
    </row>
    <row r="1413" spans="1:5" ht="15" customHeight="1" x14ac:dyDescent="0.25">
      <c r="A1413">
        <v>731</v>
      </c>
      <c r="B1413" t="s">
        <v>144</v>
      </c>
      <c r="C1413">
        <v>798</v>
      </c>
      <c r="D1413" t="s">
        <v>151</v>
      </c>
      <c r="E1413" s="6">
        <v>31.26</v>
      </c>
    </row>
    <row r="1414" spans="1:5" ht="15" customHeight="1" x14ac:dyDescent="0.25">
      <c r="A1414">
        <v>731</v>
      </c>
      <c r="B1414" t="s">
        <v>144</v>
      </c>
      <c r="C1414">
        <v>799</v>
      </c>
      <c r="D1414" t="s">
        <v>152</v>
      </c>
      <c r="E1414" s="6">
        <v>27.35</v>
      </c>
    </row>
    <row r="1415" spans="1:5" ht="15" customHeight="1" x14ac:dyDescent="0.25">
      <c r="A1415">
        <v>731</v>
      </c>
      <c r="B1415" t="s">
        <v>144</v>
      </c>
      <c r="C1415">
        <v>811</v>
      </c>
      <c r="D1415" t="s">
        <v>153</v>
      </c>
      <c r="E1415" s="6">
        <v>31.89</v>
      </c>
    </row>
    <row r="1416" spans="1:5" ht="15" customHeight="1" x14ac:dyDescent="0.25">
      <c r="A1416">
        <v>731</v>
      </c>
      <c r="B1416" t="s">
        <v>144</v>
      </c>
      <c r="C1416">
        <v>820</v>
      </c>
      <c r="D1416" t="s">
        <v>154</v>
      </c>
      <c r="E1416" s="6">
        <v>30.66</v>
      </c>
    </row>
    <row r="1417" spans="1:5" ht="15" customHeight="1" x14ac:dyDescent="0.25">
      <c r="A1417">
        <v>731</v>
      </c>
      <c r="B1417" t="s">
        <v>144</v>
      </c>
      <c r="C1417">
        <v>830</v>
      </c>
      <c r="D1417" t="s">
        <v>155</v>
      </c>
      <c r="E1417" s="6">
        <v>31.12</v>
      </c>
    </row>
    <row r="1418" spans="1:5" ht="15" customHeight="1" x14ac:dyDescent="0.25">
      <c r="A1418">
        <v>731</v>
      </c>
      <c r="B1418" t="s">
        <v>144</v>
      </c>
      <c r="C1418">
        <v>831</v>
      </c>
      <c r="D1418" t="s">
        <v>156</v>
      </c>
      <c r="E1418" s="6">
        <v>23.33</v>
      </c>
    </row>
    <row r="1419" spans="1:5" ht="15" customHeight="1" x14ac:dyDescent="0.25">
      <c r="A1419">
        <v>731</v>
      </c>
      <c r="B1419" t="s">
        <v>144</v>
      </c>
      <c r="C1419">
        <v>832</v>
      </c>
      <c r="D1419" t="s">
        <v>157</v>
      </c>
      <c r="E1419" s="6">
        <v>30.34</v>
      </c>
    </row>
    <row r="1420" spans="1:5" ht="15" customHeight="1" x14ac:dyDescent="0.25">
      <c r="A1420">
        <v>731</v>
      </c>
      <c r="B1420" t="s">
        <v>144</v>
      </c>
      <c r="C1420">
        <v>833</v>
      </c>
      <c r="D1420" t="s">
        <v>158</v>
      </c>
      <c r="E1420" s="6">
        <v>29.3</v>
      </c>
    </row>
    <row r="1421" spans="1:5" ht="15" customHeight="1" x14ac:dyDescent="0.25">
      <c r="A1421">
        <v>731</v>
      </c>
      <c r="B1421" t="s">
        <v>144</v>
      </c>
      <c r="C1421">
        <v>840</v>
      </c>
      <c r="D1421" t="s">
        <v>159</v>
      </c>
      <c r="E1421" s="6">
        <v>29.69</v>
      </c>
    </row>
    <row r="1422" spans="1:5" ht="15" customHeight="1" x14ac:dyDescent="0.25">
      <c r="A1422">
        <v>731</v>
      </c>
      <c r="B1422" t="s">
        <v>144</v>
      </c>
      <c r="C1422">
        <v>841</v>
      </c>
      <c r="D1422" t="s">
        <v>160</v>
      </c>
      <c r="E1422" s="6">
        <v>31.68</v>
      </c>
    </row>
    <row r="1423" spans="1:5" ht="15" customHeight="1" x14ac:dyDescent="0.25">
      <c r="A1423">
        <v>731</v>
      </c>
      <c r="B1423" t="s">
        <v>144</v>
      </c>
      <c r="C1423">
        <v>842</v>
      </c>
      <c r="D1423" t="s">
        <v>161</v>
      </c>
      <c r="E1423" s="6">
        <v>28.88</v>
      </c>
    </row>
    <row r="1424" spans="1:5" ht="15" customHeight="1" x14ac:dyDescent="0.25">
      <c r="A1424">
        <v>731</v>
      </c>
      <c r="B1424" t="s">
        <v>144</v>
      </c>
      <c r="C1424">
        <v>847</v>
      </c>
      <c r="D1424" t="s">
        <v>162</v>
      </c>
      <c r="E1424" s="6">
        <v>32.11</v>
      </c>
    </row>
    <row r="1425" spans="1:5" ht="15" customHeight="1" x14ac:dyDescent="0.25">
      <c r="A1425">
        <v>731</v>
      </c>
      <c r="B1425" t="s">
        <v>144</v>
      </c>
      <c r="C1425">
        <v>877</v>
      </c>
      <c r="D1425" t="s">
        <v>163</v>
      </c>
      <c r="E1425" s="6">
        <v>9.51</v>
      </c>
    </row>
    <row r="1426" spans="1:5" ht="15" customHeight="1" x14ac:dyDescent="0.25">
      <c r="A1426">
        <v>731</v>
      </c>
      <c r="B1426" t="s">
        <v>144</v>
      </c>
      <c r="C1426">
        <v>898</v>
      </c>
      <c r="D1426" t="s">
        <v>164</v>
      </c>
      <c r="E1426" s="6">
        <v>26.27</v>
      </c>
    </row>
    <row r="1427" spans="1:5" ht="15" customHeight="1" x14ac:dyDescent="0.25">
      <c r="A1427">
        <v>731</v>
      </c>
      <c r="B1427" t="s">
        <v>144</v>
      </c>
      <c r="C1427">
        <v>899</v>
      </c>
      <c r="D1427" t="s">
        <v>165</v>
      </c>
      <c r="E1427" s="6">
        <v>30.85</v>
      </c>
    </row>
    <row r="1428" spans="1:5" ht="15" customHeight="1" x14ac:dyDescent="0.25">
      <c r="A1428">
        <v>731</v>
      </c>
      <c r="B1428" t="s">
        <v>144</v>
      </c>
      <c r="C1428">
        <v>1912</v>
      </c>
      <c r="D1428" t="s">
        <v>166</v>
      </c>
      <c r="E1428" s="6">
        <v>5.34</v>
      </c>
    </row>
    <row r="1429" spans="1:5" ht="15" customHeight="1" x14ac:dyDescent="0.25">
      <c r="A1429">
        <v>731</v>
      </c>
      <c r="B1429" t="s">
        <v>144</v>
      </c>
      <c r="C1429">
        <v>9999</v>
      </c>
      <c r="D1429" t="s">
        <v>117</v>
      </c>
      <c r="E1429" s="6">
        <v>30.38</v>
      </c>
    </row>
    <row r="1430" spans="1:5" ht="15" customHeight="1" x14ac:dyDescent="0.25">
      <c r="A1430">
        <v>743</v>
      </c>
      <c r="B1430" t="s">
        <v>145</v>
      </c>
      <c r="C1430">
        <v>1</v>
      </c>
      <c r="D1430" t="s">
        <v>117</v>
      </c>
      <c r="E1430" s="6">
        <v>14.78</v>
      </c>
    </row>
    <row r="1431" spans="1:5" ht="15" customHeight="1" x14ac:dyDescent="0.25">
      <c r="A1431">
        <v>743</v>
      </c>
      <c r="B1431" t="s">
        <v>145</v>
      </c>
      <c r="C1431">
        <v>3</v>
      </c>
      <c r="D1431" t="s">
        <v>118</v>
      </c>
      <c r="E1431" s="6">
        <v>56.79</v>
      </c>
    </row>
    <row r="1432" spans="1:5" ht="15" customHeight="1" x14ac:dyDescent="0.25">
      <c r="A1432">
        <v>743</v>
      </c>
      <c r="B1432" t="s">
        <v>145</v>
      </c>
      <c r="C1432">
        <v>5</v>
      </c>
      <c r="D1432" t="s">
        <v>119</v>
      </c>
      <c r="E1432" s="6">
        <v>104.56</v>
      </c>
    </row>
    <row r="1433" spans="1:5" ht="15" customHeight="1" x14ac:dyDescent="0.25">
      <c r="A1433">
        <v>743</v>
      </c>
      <c r="B1433" t="s">
        <v>145</v>
      </c>
      <c r="C1433">
        <v>11</v>
      </c>
      <c r="D1433" t="s">
        <v>120</v>
      </c>
      <c r="E1433" s="6">
        <v>76.06</v>
      </c>
    </row>
    <row r="1434" spans="1:5" ht="15" customHeight="1" x14ac:dyDescent="0.25">
      <c r="A1434">
        <v>743</v>
      </c>
      <c r="B1434" t="s">
        <v>145</v>
      </c>
      <c r="C1434">
        <v>12</v>
      </c>
      <c r="D1434" t="s">
        <v>121</v>
      </c>
      <c r="E1434" s="6">
        <v>65.989999999999995</v>
      </c>
    </row>
    <row r="1435" spans="1:5" ht="15" customHeight="1" x14ac:dyDescent="0.25">
      <c r="A1435">
        <v>743</v>
      </c>
      <c r="B1435" t="s">
        <v>145</v>
      </c>
      <c r="C1435">
        <v>29</v>
      </c>
      <c r="D1435" t="s">
        <v>122</v>
      </c>
      <c r="E1435" s="6">
        <v>114.33</v>
      </c>
    </row>
    <row r="1436" spans="1:5" ht="15" customHeight="1" x14ac:dyDescent="0.25">
      <c r="A1436">
        <v>743</v>
      </c>
      <c r="B1436" t="s">
        <v>145</v>
      </c>
      <c r="C1436">
        <v>70</v>
      </c>
      <c r="D1436" t="s">
        <v>123</v>
      </c>
      <c r="E1436" s="6">
        <v>95.73</v>
      </c>
    </row>
    <row r="1437" spans="1:5" ht="15" customHeight="1" x14ac:dyDescent="0.25">
      <c r="A1437">
        <v>743</v>
      </c>
      <c r="B1437" t="s">
        <v>145</v>
      </c>
      <c r="C1437">
        <v>71</v>
      </c>
      <c r="D1437" t="s">
        <v>124</v>
      </c>
      <c r="E1437" s="6">
        <v>139.43</v>
      </c>
    </row>
    <row r="1438" spans="1:5" ht="15" customHeight="1" x14ac:dyDescent="0.25">
      <c r="A1438">
        <v>743</v>
      </c>
      <c r="B1438" t="s">
        <v>145</v>
      </c>
      <c r="C1438">
        <v>384</v>
      </c>
      <c r="D1438" t="s">
        <v>125</v>
      </c>
      <c r="E1438" s="6">
        <v>14.78</v>
      </c>
    </row>
    <row r="1439" spans="1:5" ht="15" customHeight="1" x14ac:dyDescent="0.25">
      <c r="A1439">
        <v>743</v>
      </c>
      <c r="B1439" t="s">
        <v>145</v>
      </c>
      <c r="C1439">
        <v>429</v>
      </c>
      <c r="D1439" t="s">
        <v>126</v>
      </c>
      <c r="E1439" s="6">
        <v>83.43</v>
      </c>
    </row>
    <row r="1440" spans="1:5" ht="15" customHeight="1" x14ac:dyDescent="0.25">
      <c r="A1440">
        <v>743</v>
      </c>
      <c r="B1440" t="s">
        <v>145</v>
      </c>
      <c r="C1440">
        <v>486</v>
      </c>
      <c r="D1440" t="s">
        <v>127</v>
      </c>
      <c r="E1440" s="6">
        <v>75.12</v>
      </c>
    </row>
    <row r="1441" spans="1:5" ht="15" customHeight="1" x14ac:dyDescent="0.25">
      <c r="A1441">
        <v>743</v>
      </c>
      <c r="B1441" t="s">
        <v>145</v>
      </c>
      <c r="C1441">
        <v>546</v>
      </c>
      <c r="D1441" t="s">
        <v>128</v>
      </c>
      <c r="E1441" s="6">
        <v>73.92</v>
      </c>
    </row>
    <row r="1442" spans="1:5" ht="15" customHeight="1" x14ac:dyDescent="0.25">
      <c r="A1442">
        <v>743</v>
      </c>
      <c r="B1442" t="s">
        <v>145</v>
      </c>
      <c r="C1442">
        <v>599</v>
      </c>
      <c r="D1442" t="s">
        <v>129</v>
      </c>
      <c r="E1442" s="6">
        <v>16.28</v>
      </c>
    </row>
    <row r="1443" spans="1:5" ht="15" customHeight="1" x14ac:dyDescent="0.25">
      <c r="A1443">
        <v>743</v>
      </c>
      <c r="B1443" t="s">
        <v>145</v>
      </c>
      <c r="C1443">
        <v>620</v>
      </c>
      <c r="D1443" t="s">
        <v>130</v>
      </c>
      <c r="E1443" s="6">
        <v>48.24</v>
      </c>
    </row>
    <row r="1444" spans="1:5" ht="15" customHeight="1" x14ac:dyDescent="0.25">
      <c r="A1444">
        <v>743</v>
      </c>
      <c r="B1444" t="s">
        <v>145</v>
      </c>
      <c r="C1444">
        <v>626</v>
      </c>
      <c r="D1444" t="s">
        <v>131</v>
      </c>
      <c r="E1444" s="6">
        <v>12.41</v>
      </c>
    </row>
    <row r="1445" spans="1:5" ht="15" customHeight="1" x14ac:dyDescent="0.25">
      <c r="A1445">
        <v>743</v>
      </c>
      <c r="B1445" t="s">
        <v>145</v>
      </c>
      <c r="C1445">
        <v>627</v>
      </c>
      <c r="D1445" t="s">
        <v>132</v>
      </c>
      <c r="E1445" s="6">
        <v>18.489999999999998</v>
      </c>
    </row>
    <row r="1446" spans="1:5" ht="15" customHeight="1" x14ac:dyDescent="0.25">
      <c r="A1446">
        <v>743</v>
      </c>
      <c r="B1446" t="s">
        <v>145</v>
      </c>
      <c r="C1446">
        <v>651</v>
      </c>
      <c r="D1446" t="s">
        <v>133</v>
      </c>
      <c r="E1446" s="6">
        <v>15.08</v>
      </c>
    </row>
    <row r="1447" spans="1:5" ht="15" customHeight="1" x14ac:dyDescent="0.25">
      <c r="A1447">
        <v>743</v>
      </c>
      <c r="B1447" t="s">
        <v>145</v>
      </c>
      <c r="C1447">
        <v>668</v>
      </c>
      <c r="D1447" t="s">
        <v>134</v>
      </c>
      <c r="E1447" s="6">
        <v>14.95</v>
      </c>
    </row>
    <row r="1448" spans="1:5" ht="15" customHeight="1" x14ac:dyDescent="0.25">
      <c r="A1448">
        <v>743</v>
      </c>
      <c r="B1448" t="s">
        <v>145</v>
      </c>
      <c r="C1448">
        <v>681</v>
      </c>
      <c r="D1448" t="s">
        <v>135</v>
      </c>
      <c r="E1448" s="6">
        <v>12.64</v>
      </c>
    </row>
    <row r="1449" spans="1:5" ht="15" customHeight="1" x14ac:dyDescent="0.25">
      <c r="A1449">
        <v>743</v>
      </c>
      <c r="B1449" t="s">
        <v>145</v>
      </c>
      <c r="C1449">
        <v>682</v>
      </c>
      <c r="D1449" t="s">
        <v>136</v>
      </c>
      <c r="E1449" s="6">
        <v>15.45</v>
      </c>
    </row>
    <row r="1450" spans="1:5" ht="15" customHeight="1" x14ac:dyDescent="0.25">
      <c r="A1450">
        <v>743</v>
      </c>
      <c r="B1450" t="s">
        <v>145</v>
      </c>
      <c r="C1450">
        <v>683</v>
      </c>
      <c r="D1450" t="s">
        <v>137</v>
      </c>
      <c r="E1450" s="6">
        <v>15.08</v>
      </c>
    </row>
    <row r="1451" spans="1:5" ht="15" customHeight="1" x14ac:dyDescent="0.25">
      <c r="A1451">
        <v>743</v>
      </c>
      <c r="B1451" t="s">
        <v>145</v>
      </c>
      <c r="C1451">
        <v>684</v>
      </c>
      <c r="D1451" t="s">
        <v>138</v>
      </c>
      <c r="E1451" s="6">
        <v>13.67</v>
      </c>
    </row>
    <row r="1452" spans="1:5" ht="15" customHeight="1" x14ac:dyDescent="0.25">
      <c r="A1452">
        <v>743</v>
      </c>
      <c r="B1452" t="s">
        <v>145</v>
      </c>
      <c r="C1452">
        <v>685</v>
      </c>
      <c r="D1452" t="s">
        <v>139</v>
      </c>
      <c r="E1452" s="6">
        <v>13.14</v>
      </c>
    </row>
    <row r="1453" spans="1:5" ht="15" customHeight="1" x14ac:dyDescent="0.25">
      <c r="A1453">
        <v>743</v>
      </c>
      <c r="B1453" t="s">
        <v>145</v>
      </c>
      <c r="C1453">
        <v>691</v>
      </c>
      <c r="D1453" t="s">
        <v>140</v>
      </c>
      <c r="E1453" s="6">
        <v>12.3</v>
      </c>
    </row>
    <row r="1454" spans="1:5" ht="15" customHeight="1" x14ac:dyDescent="0.25">
      <c r="A1454">
        <v>743</v>
      </c>
      <c r="B1454" t="s">
        <v>145</v>
      </c>
      <c r="C1454">
        <v>706</v>
      </c>
      <c r="D1454" t="s">
        <v>141</v>
      </c>
      <c r="E1454" s="6">
        <v>15.14</v>
      </c>
    </row>
    <row r="1455" spans="1:5" ht="15" customHeight="1" x14ac:dyDescent="0.25">
      <c r="A1455">
        <v>743</v>
      </c>
      <c r="B1455" t="s">
        <v>145</v>
      </c>
      <c r="C1455">
        <v>713</v>
      </c>
      <c r="D1455" t="s">
        <v>142</v>
      </c>
      <c r="E1455" s="6">
        <v>15.2</v>
      </c>
    </row>
    <row r="1456" spans="1:5" ht="15" customHeight="1" x14ac:dyDescent="0.25">
      <c r="A1456">
        <v>743</v>
      </c>
      <c r="B1456" t="s">
        <v>145</v>
      </c>
      <c r="C1456">
        <v>718</v>
      </c>
      <c r="D1456" t="s">
        <v>143</v>
      </c>
      <c r="E1456" s="6">
        <v>17.54</v>
      </c>
    </row>
    <row r="1457" spans="1:5" ht="15" customHeight="1" x14ac:dyDescent="0.25">
      <c r="A1457">
        <v>743</v>
      </c>
      <c r="B1457" t="s">
        <v>145</v>
      </c>
      <c r="C1457">
        <v>731</v>
      </c>
      <c r="D1457" t="s">
        <v>144</v>
      </c>
      <c r="E1457" s="6">
        <v>29.79</v>
      </c>
    </row>
    <row r="1458" spans="1:5" ht="15" customHeight="1" x14ac:dyDescent="0.25">
      <c r="A1458">
        <v>743</v>
      </c>
      <c r="B1458" t="s">
        <v>145</v>
      </c>
      <c r="C1458">
        <v>743</v>
      </c>
      <c r="D1458" t="s">
        <v>145</v>
      </c>
      <c r="E1458" s="6">
        <v>0</v>
      </c>
    </row>
    <row r="1459" spans="1:5" ht="15" customHeight="1" x14ac:dyDescent="0.25">
      <c r="A1459">
        <v>743</v>
      </c>
      <c r="B1459" t="s">
        <v>145</v>
      </c>
      <c r="C1459">
        <v>760</v>
      </c>
      <c r="D1459" t="s">
        <v>146</v>
      </c>
      <c r="E1459" s="6">
        <v>12.57</v>
      </c>
    </row>
    <row r="1460" spans="1:5" ht="15" customHeight="1" x14ac:dyDescent="0.25">
      <c r="A1460">
        <v>743</v>
      </c>
      <c r="B1460" t="s">
        <v>145</v>
      </c>
      <c r="C1460">
        <v>765</v>
      </c>
      <c r="D1460" t="s">
        <v>147</v>
      </c>
      <c r="E1460" s="6">
        <v>12.23</v>
      </c>
    </row>
    <row r="1461" spans="1:5" ht="15" customHeight="1" x14ac:dyDescent="0.25">
      <c r="A1461">
        <v>743</v>
      </c>
      <c r="B1461" t="s">
        <v>145</v>
      </c>
      <c r="C1461">
        <v>766</v>
      </c>
      <c r="D1461" t="s">
        <v>148</v>
      </c>
      <c r="E1461" s="6">
        <v>16.38</v>
      </c>
    </row>
    <row r="1462" spans="1:5" ht="15" customHeight="1" x14ac:dyDescent="0.25">
      <c r="A1462">
        <v>743</v>
      </c>
      <c r="B1462" t="s">
        <v>145</v>
      </c>
      <c r="C1462">
        <v>767</v>
      </c>
      <c r="D1462" t="s">
        <v>149</v>
      </c>
      <c r="E1462" s="6">
        <v>17.53</v>
      </c>
    </row>
    <row r="1463" spans="1:5" ht="15" customHeight="1" x14ac:dyDescent="0.25">
      <c r="A1463">
        <v>743</v>
      </c>
      <c r="B1463" t="s">
        <v>145</v>
      </c>
      <c r="C1463">
        <v>795</v>
      </c>
      <c r="D1463" t="s">
        <v>150</v>
      </c>
      <c r="E1463" s="6">
        <v>13.44</v>
      </c>
    </row>
    <row r="1464" spans="1:5" ht="15" customHeight="1" x14ac:dyDescent="0.25">
      <c r="A1464">
        <v>743</v>
      </c>
      <c r="B1464" t="s">
        <v>145</v>
      </c>
      <c r="C1464">
        <v>798</v>
      </c>
      <c r="D1464" t="s">
        <v>151</v>
      </c>
      <c r="E1464" s="6">
        <v>10.77</v>
      </c>
    </row>
    <row r="1465" spans="1:5" ht="15" customHeight="1" x14ac:dyDescent="0.25">
      <c r="A1465">
        <v>743</v>
      </c>
      <c r="B1465" t="s">
        <v>145</v>
      </c>
      <c r="C1465">
        <v>799</v>
      </c>
      <c r="D1465" t="s">
        <v>152</v>
      </c>
      <c r="E1465" s="6">
        <v>13.28</v>
      </c>
    </row>
    <row r="1466" spans="1:5" ht="15" customHeight="1" x14ac:dyDescent="0.25">
      <c r="A1466">
        <v>743</v>
      </c>
      <c r="B1466" t="s">
        <v>145</v>
      </c>
      <c r="C1466">
        <v>811</v>
      </c>
      <c r="D1466" t="s">
        <v>153</v>
      </c>
      <c r="E1466" s="6">
        <v>20.5</v>
      </c>
    </row>
    <row r="1467" spans="1:5" ht="15" customHeight="1" x14ac:dyDescent="0.25">
      <c r="A1467">
        <v>743</v>
      </c>
      <c r="B1467" t="s">
        <v>145</v>
      </c>
      <c r="C1467">
        <v>820</v>
      </c>
      <c r="D1467" t="s">
        <v>154</v>
      </c>
      <c r="E1467" s="6">
        <v>11.64</v>
      </c>
    </row>
    <row r="1468" spans="1:5" ht="15" customHeight="1" x14ac:dyDescent="0.25">
      <c r="A1468">
        <v>743</v>
      </c>
      <c r="B1468" t="s">
        <v>145</v>
      </c>
      <c r="C1468">
        <v>830</v>
      </c>
      <c r="D1468" t="s">
        <v>155</v>
      </c>
      <c r="E1468" s="6">
        <v>11.55</v>
      </c>
    </row>
    <row r="1469" spans="1:5" ht="15" customHeight="1" x14ac:dyDescent="0.25">
      <c r="A1469">
        <v>743</v>
      </c>
      <c r="B1469" t="s">
        <v>145</v>
      </c>
      <c r="C1469">
        <v>831</v>
      </c>
      <c r="D1469" t="s">
        <v>156</v>
      </c>
      <c r="E1469" s="6">
        <v>16.46</v>
      </c>
    </row>
    <row r="1470" spans="1:5" ht="15" customHeight="1" x14ac:dyDescent="0.25">
      <c r="A1470">
        <v>743</v>
      </c>
      <c r="B1470" t="s">
        <v>145</v>
      </c>
      <c r="C1470">
        <v>832</v>
      </c>
      <c r="D1470" t="s">
        <v>157</v>
      </c>
      <c r="E1470" s="6">
        <v>11.33</v>
      </c>
    </row>
    <row r="1471" spans="1:5" ht="15" customHeight="1" x14ac:dyDescent="0.25">
      <c r="A1471">
        <v>743</v>
      </c>
      <c r="B1471" t="s">
        <v>145</v>
      </c>
      <c r="C1471">
        <v>833</v>
      </c>
      <c r="D1471" t="s">
        <v>158</v>
      </c>
      <c r="E1471" s="6">
        <v>12.89</v>
      </c>
    </row>
    <row r="1472" spans="1:5" ht="15" customHeight="1" x14ac:dyDescent="0.25">
      <c r="A1472">
        <v>743</v>
      </c>
      <c r="B1472" t="s">
        <v>145</v>
      </c>
      <c r="C1472">
        <v>840</v>
      </c>
      <c r="D1472" t="s">
        <v>159</v>
      </c>
      <c r="E1472" s="6">
        <v>9.1300000000000008</v>
      </c>
    </row>
    <row r="1473" spans="1:6" ht="15" customHeight="1" x14ac:dyDescent="0.25">
      <c r="A1473">
        <v>743</v>
      </c>
      <c r="B1473" t="s">
        <v>145</v>
      </c>
      <c r="C1473">
        <v>841</v>
      </c>
      <c r="D1473" t="s">
        <v>160</v>
      </c>
      <c r="E1473" s="6">
        <v>13.79</v>
      </c>
    </row>
    <row r="1474" spans="1:6" ht="15" customHeight="1" x14ac:dyDescent="0.25">
      <c r="A1474">
        <v>743</v>
      </c>
      <c r="B1474" t="s">
        <v>145</v>
      </c>
      <c r="C1474">
        <v>842</v>
      </c>
      <c r="D1474" t="s">
        <v>161</v>
      </c>
      <c r="E1474" s="6">
        <v>17.38</v>
      </c>
    </row>
    <row r="1475" spans="1:6" ht="15" customHeight="1" x14ac:dyDescent="0.25">
      <c r="A1475">
        <v>743</v>
      </c>
      <c r="B1475" t="s">
        <v>145</v>
      </c>
      <c r="C1475">
        <v>847</v>
      </c>
      <c r="D1475" t="s">
        <v>162</v>
      </c>
      <c r="E1475" s="6">
        <v>14.19</v>
      </c>
    </row>
    <row r="1476" spans="1:6" ht="15" customHeight="1" x14ac:dyDescent="0.25">
      <c r="A1476">
        <v>743</v>
      </c>
      <c r="B1476" t="s">
        <v>145</v>
      </c>
      <c r="C1476">
        <v>877</v>
      </c>
      <c r="D1476" t="s">
        <v>163</v>
      </c>
      <c r="E1476" s="6">
        <v>21.43</v>
      </c>
    </row>
    <row r="1477" spans="1:6" ht="15" customHeight="1" x14ac:dyDescent="0.25">
      <c r="A1477">
        <v>743</v>
      </c>
      <c r="B1477" t="s">
        <v>145</v>
      </c>
      <c r="C1477">
        <v>898</v>
      </c>
      <c r="D1477" t="s">
        <v>164</v>
      </c>
      <c r="E1477" s="6">
        <v>14.19</v>
      </c>
    </row>
    <row r="1478" spans="1:6" ht="15" customHeight="1" x14ac:dyDescent="0.25">
      <c r="A1478">
        <v>743</v>
      </c>
      <c r="B1478" t="s">
        <v>145</v>
      </c>
      <c r="C1478">
        <v>899</v>
      </c>
      <c r="D1478" t="s">
        <v>165</v>
      </c>
      <c r="E1478" s="6">
        <v>18.89</v>
      </c>
    </row>
    <row r="1479" spans="1:6" ht="15" customHeight="1" x14ac:dyDescent="0.25">
      <c r="A1479">
        <v>743</v>
      </c>
      <c r="B1479" t="s">
        <v>145</v>
      </c>
      <c r="C1479">
        <v>1912</v>
      </c>
      <c r="D1479" t="s">
        <v>166</v>
      </c>
      <c r="E1479" s="6">
        <v>27.39</v>
      </c>
    </row>
    <row r="1480" spans="1:6" ht="15" customHeight="1" x14ac:dyDescent="0.25">
      <c r="A1480">
        <v>743</v>
      </c>
      <c r="B1480" t="s">
        <v>145</v>
      </c>
      <c r="C1480">
        <v>9999</v>
      </c>
      <c r="D1480" t="s">
        <v>117</v>
      </c>
      <c r="E1480" s="6">
        <v>14.78</v>
      </c>
    </row>
    <row r="1481" spans="1:6" ht="15" customHeight="1" x14ac:dyDescent="0.25">
      <c r="A1481">
        <v>760</v>
      </c>
      <c r="B1481" t="s">
        <v>146</v>
      </c>
      <c r="C1481">
        <v>1</v>
      </c>
      <c r="D1481" t="s">
        <v>117</v>
      </c>
      <c r="E1481" s="6">
        <v>2.4700000000000002</v>
      </c>
    </row>
    <row r="1482" spans="1:6" ht="15" customHeight="1" x14ac:dyDescent="0.25">
      <c r="A1482">
        <v>760</v>
      </c>
      <c r="B1482" t="s">
        <v>146</v>
      </c>
      <c r="C1482">
        <v>3</v>
      </c>
      <c r="D1482" t="s">
        <v>118</v>
      </c>
      <c r="E1482" s="6">
        <v>58.98</v>
      </c>
    </row>
    <row r="1483" spans="1:6" ht="15" customHeight="1" x14ac:dyDescent="0.25">
      <c r="A1483">
        <v>760</v>
      </c>
      <c r="B1483" t="s">
        <v>146</v>
      </c>
      <c r="C1483">
        <v>5</v>
      </c>
      <c r="D1483" t="s">
        <v>119</v>
      </c>
      <c r="E1483" s="6">
        <v>106.54</v>
      </c>
    </row>
    <row r="1484" spans="1:6" ht="15" customHeight="1" x14ac:dyDescent="0.25">
      <c r="A1484">
        <v>760</v>
      </c>
      <c r="B1484" t="s">
        <v>146</v>
      </c>
      <c r="C1484">
        <v>11</v>
      </c>
      <c r="D1484" t="s">
        <v>120</v>
      </c>
      <c r="E1484" s="6">
        <v>84.74</v>
      </c>
    </row>
    <row r="1485" spans="1:6" ht="15" customHeight="1" x14ac:dyDescent="0.25">
      <c r="A1485">
        <v>760</v>
      </c>
      <c r="B1485" t="s">
        <v>146</v>
      </c>
      <c r="C1485">
        <v>12</v>
      </c>
      <c r="D1485" t="s">
        <v>121</v>
      </c>
      <c r="E1485" s="6">
        <v>57.15</v>
      </c>
    </row>
    <row r="1486" spans="1:6" ht="15" customHeight="1" x14ac:dyDescent="0.25">
      <c r="A1486">
        <v>760</v>
      </c>
      <c r="B1486" t="s">
        <v>146</v>
      </c>
      <c r="C1486">
        <v>29</v>
      </c>
      <c r="D1486" t="s">
        <v>122</v>
      </c>
      <c r="E1486" s="6">
        <v>118.88</v>
      </c>
    </row>
    <row r="1487" spans="1:6" ht="15" customHeight="1" x14ac:dyDescent="0.25">
      <c r="A1487">
        <v>760</v>
      </c>
      <c r="B1487" t="s">
        <v>146</v>
      </c>
      <c r="C1487">
        <v>70</v>
      </c>
      <c r="D1487" t="s">
        <v>123</v>
      </c>
      <c r="E1487" s="6">
        <v>83.98</v>
      </c>
    </row>
    <row r="1488" spans="1:6" ht="15" customHeight="1" x14ac:dyDescent="0.25">
      <c r="A1488">
        <v>760</v>
      </c>
      <c r="B1488" t="s">
        <v>146</v>
      </c>
      <c r="C1488">
        <v>71</v>
      </c>
      <c r="D1488" t="s">
        <v>124</v>
      </c>
      <c r="E1488" s="6">
        <v>127.37</v>
      </c>
      <c r="F1488">
        <f t="shared" ref="F1488:F1504" si="0">(E1488/45)*60</f>
        <v>169.82666666666668</v>
      </c>
    </row>
    <row r="1489" spans="1:6" ht="15" customHeight="1" x14ac:dyDescent="0.25">
      <c r="A1489">
        <v>760</v>
      </c>
      <c r="B1489" t="s">
        <v>146</v>
      </c>
      <c r="C1489">
        <v>384</v>
      </c>
      <c r="D1489" t="s">
        <v>125</v>
      </c>
      <c r="E1489" s="6">
        <v>2.23</v>
      </c>
      <c r="F1489">
        <f t="shared" si="0"/>
        <v>2.9733333333333332</v>
      </c>
    </row>
    <row r="1490" spans="1:6" ht="15" customHeight="1" x14ac:dyDescent="0.25">
      <c r="A1490">
        <v>760</v>
      </c>
      <c r="B1490" t="s">
        <v>146</v>
      </c>
      <c r="C1490">
        <v>429</v>
      </c>
      <c r="D1490" t="s">
        <v>126</v>
      </c>
      <c r="E1490" s="6">
        <v>71.3</v>
      </c>
      <c r="F1490">
        <f t="shared" si="0"/>
        <v>95.066666666666663</v>
      </c>
    </row>
    <row r="1491" spans="1:6" ht="15" customHeight="1" x14ac:dyDescent="0.25">
      <c r="A1491">
        <v>760</v>
      </c>
      <c r="B1491" t="s">
        <v>146</v>
      </c>
      <c r="C1491">
        <v>486</v>
      </c>
      <c r="D1491" t="s">
        <v>127</v>
      </c>
      <c r="E1491" s="6">
        <v>68.61</v>
      </c>
      <c r="F1491">
        <f t="shared" si="0"/>
        <v>91.47999999999999</v>
      </c>
    </row>
    <row r="1492" spans="1:6" ht="15" customHeight="1" x14ac:dyDescent="0.25">
      <c r="A1492">
        <v>760</v>
      </c>
      <c r="B1492" t="s">
        <v>146</v>
      </c>
      <c r="C1492">
        <v>546</v>
      </c>
      <c r="D1492" t="s">
        <v>128</v>
      </c>
      <c r="E1492" s="6">
        <v>73.52</v>
      </c>
      <c r="F1492">
        <f t="shared" si="0"/>
        <v>98.026666666666671</v>
      </c>
    </row>
    <row r="1493" spans="1:6" ht="15" customHeight="1" x14ac:dyDescent="0.25">
      <c r="A1493">
        <v>760</v>
      </c>
      <c r="B1493" t="s">
        <v>146</v>
      </c>
      <c r="C1493">
        <v>599</v>
      </c>
      <c r="D1493" t="s">
        <v>129</v>
      </c>
      <c r="E1493" s="6">
        <v>6.81</v>
      </c>
      <c r="F1493">
        <f t="shared" si="0"/>
        <v>9.0799999999999983</v>
      </c>
    </row>
    <row r="1494" spans="1:6" ht="15" customHeight="1" x14ac:dyDescent="0.25">
      <c r="A1494">
        <v>760</v>
      </c>
      <c r="B1494" t="s">
        <v>146</v>
      </c>
      <c r="C1494">
        <v>620</v>
      </c>
      <c r="D1494" t="s">
        <v>130</v>
      </c>
      <c r="E1494" s="6">
        <v>41.29</v>
      </c>
      <c r="F1494">
        <f t="shared" si="0"/>
        <v>55.053333333333335</v>
      </c>
    </row>
    <row r="1495" spans="1:6" ht="15" customHeight="1" x14ac:dyDescent="0.25">
      <c r="A1495">
        <v>760</v>
      </c>
      <c r="B1495" t="s">
        <v>146</v>
      </c>
      <c r="C1495">
        <v>626</v>
      </c>
      <c r="D1495" t="s">
        <v>131</v>
      </c>
      <c r="E1495" s="6">
        <v>3.37</v>
      </c>
      <c r="F1495">
        <f t="shared" si="0"/>
        <v>4.4933333333333341</v>
      </c>
    </row>
    <row r="1496" spans="1:6" ht="15" customHeight="1" x14ac:dyDescent="0.25">
      <c r="A1496">
        <v>760</v>
      </c>
      <c r="B1496" t="s">
        <v>146</v>
      </c>
      <c r="C1496">
        <v>627</v>
      </c>
      <c r="D1496" t="s">
        <v>132</v>
      </c>
      <c r="E1496" s="6">
        <v>6.19</v>
      </c>
      <c r="F1496">
        <f t="shared" si="0"/>
        <v>8.2533333333333339</v>
      </c>
    </row>
    <row r="1497" spans="1:6" ht="15" customHeight="1" x14ac:dyDescent="0.25">
      <c r="A1497">
        <v>760</v>
      </c>
      <c r="B1497" t="s">
        <v>146</v>
      </c>
      <c r="C1497">
        <v>651</v>
      </c>
      <c r="D1497" t="s">
        <v>133</v>
      </c>
      <c r="E1497" s="6">
        <v>2.76</v>
      </c>
      <c r="F1497">
        <f t="shared" si="0"/>
        <v>3.6799999999999997</v>
      </c>
    </row>
    <row r="1498" spans="1:6" ht="15" customHeight="1" x14ac:dyDescent="0.25">
      <c r="A1498">
        <v>760</v>
      </c>
      <c r="B1498" t="s">
        <v>146</v>
      </c>
      <c r="C1498">
        <v>668</v>
      </c>
      <c r="D1498" t="s">
        <v>134</v>
      </c>
      <c r="E1498" s="6">
        <v>4.7300000000000004</v>
      </c>
      <c r="F1498">
        <f t="shared" si="0"/>
        <v>6.3066666666666675</v>
      </c>
    </row>
    <row r="1499" spans="1:6" ht="15" customHeight="1" x14ac:dyDescent="0.25">
      <c r="A1499">
        <v>760</v>
      </c>
      <c r="B1499" t="s">
        <v>146</v>
      </c>
      <c r="C1499">
        <v>681</v>
      </c>
      <c r="D1499" t="s">
        <v>135</v>
      </c>
      <c r="E1499" s="6">
        <v>1.24</v>
      </c>
      <c r="F1499">
        <f t="shared" si="0"/>
        <v>1.6533333333333333</v>
      </c>
    </row>
    <row r="1500" spans="1:6" ht="15" customHeight="1" x14ac:dyDescent="0.25">
      <c r="A1500">
        <v>760</v>
      </c>
      <c r="B1500" t="s">
        <v>146</v>
      </c>
      <c r="C1500">
        <v>682</v>
      </c>
      <c r="D1500" t="s">
        <v>136</v>
      </c>
      <c r="E1500" s="6">
        <v>3.13</v>
      </c>
      <c r="F1500">
        <f t="shared" si="0"/>
        <v>4.1733333333333329</v>
      </c>
    </row>
    <row r="1501" spans="1:6" ht="15" customHeight="1" x14ac:dyDescent="0.25">
      <c r="A1501">
        <v>760</v>
      </c>
      <c r="B1501" t="s">
        <v>146</v>
      </c>
      <c r="C1501">
        <v>683</v>
      </c>
      <c r="D1501" t="s">
        <v>137</v>
      </c>
      <c r="E1501" s="6">
        <v>2.61</v>
      </c>
      <c r="F1501">
        <f t="shared" si="0"/>
        <v>3.4799999999999995</v>
      </c>
    </row>
    <row r="1502" spans="1:6" ht="15" customHeight="1" x14ac:dyDescent="0.25">
      <c r="A1502">
        <v>760</v>
      </c>
      <c r="B1502" t="s">
        <v>146</v>
      </c>
      <c r="C1502">
        <v>684</v>
      </c>
      <c r="D1502" t="s">
        <v>138</v>
      </c>
      <c r="E1502" s="6">
        <v>2.08</v>
      </c>
      <c r="F1502">
        <f t="shared" si="0"/>
        <v>2.7733333333333334</v>
      </c>
    </row>
    <row r="1503" spans="1:6" ht="15" customHeight="1" x14ac:dyDescent="0.25">
      <c r="A1503">
        <v>760</v>
      </c>
      <c r="B1503" t="s">
        <v>146</v>
      </c>
      <c r="C1503">
        <v>685</v>
      </c>
      <c r="D1503" t="s">
        <v>139</v>
      </c>
      <c r="E1503" s="6">
        <v>0.64</v>
      </c>
      <c r="F1503">
        <f t="shared" si="0"/>
        <v>0.85333333333333339</v>
      </c>
    </row>
    <row r="1504" spans="1:6" ht="15" customHeight="1" x14ac:dyDescent="0.25">
      <c r="A1504">
        <v>760</v>
      </c>
      <c r="B1504" t="s">
        <v>146</v>
      </c>
      <c r="C1504">
        <v>691</v>
      </c>
      <c r="D1504" t="s">
        <v>140</v>
      </c>
      <c r="E1504" s="6">
        <v>0.9</v>
      </c>
      <c r="F1504">
        <f t="shared" si="0"/>
        <v>1.2</v>
      </c>
    </row>
    <row r="1505" spans="1:6" ht="15" customHeight="1" x14ac:dyDescent="0.25">
      <c r="A1505">
        <v>760</v>
      </c>
      <c r="B1505" t="s">
        <v>146</v>
      </c>
      <c r="C1505">
        <v>706</v>
      </c>
      <c r="D1505" t="s">
        <v>141</v>
      </c>
      <c r="E1505" s="6">
        <v>2.66</v>
      </c>
      <c r="F1505">
        <f>(E1505/45)*60</f>
        <v>3.5466666666666669</v>
      </c>
    </row>
    <row r="1506" spans="1:6" ht="15" customHeight="1" x14ac:dyDescent="0.25">
      <c r="A1506">
        <v>760</v>
      </c>
      <c r="B1506" t="s">
        <v>146</v>
      </c>
      <c r="C1506">
        <v>713</v>
      </c>
      <c r="D1506" t="s">
        <v>142</v>
      </c>
      <c r="E1506" s="6">
        <v>3.74</v>
      </c>
    </row>
    <row r="1507" spans="1:6" ht="15" customHeight="1" x14ac:dyDescent="0.25">
      <c r="A1507">
        <v>760</v>
      </c>
      <c r="B1507" t="s">
        <v>146</v>
      </c>
      <c r="C1507">
        <v>718</v>
      </c>
      <c r="D1507" t="s">
        <v>143</v>
      </c>
      <c r="E1507" s="6">
        <v>4.97</v>
      </c>
    </row>
    <row r="1508" spans="1:6" ht="15" customHeight="1" x14ac:dyDescent="0.25">
      <c r="A1508">
        <v>760</v>
      </c>
      <c r="B1508" t="s">
        <v>146</v>
      </c>
      <c r="C1508">
        <v>731</v>
      </c>
      <c r="D1508" t="s">
        <v>144</v>
      </c>
      <c r="E1508" s="6">
        <v>30.82</v>
      </c>
    </row>
    <row r="1509" spans="1:6" ht="15" customHeight="1" x14ac:dyDescent="0.25">
      <c r="A1509">
        <v>760</v>
      </c>
      <c r="B1509" t="s">
        <v>146</v>
      </c>
      <c r="C1509">
        <v>743</v>
      </c>
      <c r="D1509" t="s">
        <v>145</v>
      </c>
      <c r="E1509" s="6">
        <v>12.57</v>
      </c>
    </row>
    <row r="1510" spans="1:6" ht="15" customHeight="1" x14ac:dyDescent="0.25">
      <c r="A1510">
        <v>760</v>
      </c>
      <c r="B1510" t="s">
        <v>146</v>
      </c>
      <c r="C1510">
        <v>760</v>
      </c>
      <c r="D1510" t="s">
        <v>146</v>
      </c>
      <c r="E1510" s="6">
        <v>0</v>
      </c>
    </row>
    <row r="1511" spans="1:6" ht="15" customHeight="1" x14ac:dyDescent="0.25">
      <c r="A1511">
        <v>760</v>
      </c>
      <c r="B1511" t="s">
        <v>146</v>
      </c>
      <c r="C1511">
        <v>765</v>
      </c>
      <c r="D1511" t="s">
        <v>147</v>
      </c>
      <c r="E1511" s="6">
        <v>4.32</v>
      </c>
    </row>
    <row r="1512" spans="1:6" ht="15" customHeight="1" x14ac:dyDescent="0.25">
      <c r="A1512">
        <v>760</v>
      </c>
      <c r="B1512" t="s">
        <v>146</v>
      </c>
      <c r="C1512">
        <v>766</v>
      </c>
      <c r="D1512" t="s">
        <v>148</v>
      </c>
      <c r="E1512" s="6">
        <v>3.83</v>
      </c>
    </row>
    <row r="1513" spans="1:6" ht="15" customHeight="1" x14ac:dyDescent="0.25">
      <c r="A1513">
        <v>760</v>
      </c>
      <c r="B1513" t="s">
        <v>146</v>
      </c>
      <c r="C1513">
        <v>767</v>
      </c>
      <c r="D1513" t="s">
        <v>149</v>
      </c>
      <c r="E1513" s="6">
        <v>6.38</v>
      </c>
    </row>
    <row r="1514" spans="1:6" ht="15" customHeight="1" x14ac:dyDescent="0.25">
      <c r="A1514">
        <v>760</v>
      </c>
      <c r="B1514" t="s">
        <v>146</v>
      </c>
      <c r="C1514">
        <v>795</v>
      </c>
      <c r="D1514" t="s">
        <v>150</v>
      </c>
      <c r="E1514" s="6">
        <v>1.17</v>
      </c>
    </row>
    <row r="1515" spans="1:6" ht="15" customHeight="1" x14ac:dyDescent="0.25">
      <c r="A1515">
        <v>760</v>
      </c>
      <c r="B1515" t="s">
        <v>146</v>
      </c>
      <c r="C1515">
        <v>798</v>
      </c>
      <c r="D1515" t="s">
        <v>151</v>
      </c>
      <c r="E1515" s="6">
        <v>2.0699999999999998</v>
      </c>
    </row>
    <row r="1516" spans="1:6" ht="15" customHeight="1" x14ac:dyDescent="0.25">
      <c r="A1516">
        <v>760</v>
      </c>
      <c r="B1516" t="s">
        <v>146</v>
      </c>
      <c r="C1516">
        <v>799</v>
      </c>
      <c r="D1516" t="s">
        <v>152</v>
      </c>
      <c r="E1516" s="6">
        <v>3.7</v>
      </c>
    </row>
    <row r="1517" spans="1:6" ht="15" customHeight="1" x14ac:dyDescent="0.25">
      <c r="A1517">
        <v>760</v>
      </c>
      <c r="B1517" t="s">
        <v>146</v>
      </c>
      <c r="C1517">
        <v>811</v>
      </c>
      <c r="D1517" t="s">
        <v>153</v>
      </c>
      <c r="E1517" s="6">
        <v>8.1199999999999992</v>
      </c>
    </row>
    <row r="1518" spans="1:6" ht="15" customHeight="1" x14ac:dyDescent="0.25">
      <c r="A1518">
        <v>760</v>
      </c>
      <c r="B1518" t="s">
        <v>146</v>
      </c>
      <c r="C1518">
        <v>820</v>
      </c>
      <c r="D1518" t="s">
        <v>154</v>
      </c>
      <c r="E1518" s="6">
        <v>0.94</v>
      </c>
    </row>
    <row r="1519" spans="1:6" ht="15" customHeight="1" x14ac:dyDescent="0.25">
      <c r="A1519">
        <v>760</v>
      </c>
      <c r="B1519" t="s">
        <v>146</v>
      </c>
      <c r="C1519">
        <v>830</v>
      </c>
      <c r="D1519" t="s">
        <v>155</v>
      </c>
      <c r="E1519" s="6">
        <v>1.2</v>
      </c>
    </row>
    <row r="1520" spans="1:6" ht="15" customHeight="1" x14ac:dyDescent="0.25">
      <c r="A1520">
        <v>760</v>
      </c>
      <c r="B1520" t="s">
        <v>146</v>
      </c>
      <c r="C1520">
        <v>831</v>
      </c>
      <c r="D1520" t="s">
        <v>156</v>
      </c>
      <c r="E1520" s="6">
        <v>8.6999999999999993</v>
      </c>
    </row>
    <row r="1521" spans="1:5" ht="15" customHeight="1" x14ac:dyDescent="0.25">
      <c r="A1521">
        <v>760</v>
      </c>
      <c r="B1521" t="s">
        <v>146</v>
      </c>
      <c r="C1521">
        <v>832</v>
      </c>
      <c r="D1521" t="s">
        <v>157</v>
      </c>
      <c r="E1521" s="6">
        <v>1.25</v>
      </c>
    </row>
    <row r="1522" spans="1:5" ht="15" customHeight="1" x14ac:dyDescent="0.25">
      <c r="A1522">
        <v>760</v>
      </c>
      <c r="B1522" t="s">
        <v>146</v>
      </c>
      <c r="C1522">
        <v>833</v>
      </c>
      <c r="D1522" t="s">
        <v>158</v>
      </c>
      <c r="E1522" s="6">
        <v>1.66</v>
      </c>
    </row>
    <row r="1523" spans="1:5" ht="15" customHeight="1" x14ac:dyDescent="0.25">
      <c r="A1523">
        <v>760</v>
      </c>
      <c r="B1523" t="s">
        <v>146</v>
      </c>
      <c r="C1523">
        <v>840</v>
      </c>
      <c r="D1523" t="s">
        <v>159</v>
      </c>
      <c r="E1523">
        <v>3.46</v>
      </c>
    </row>
    <row r="1524" spans="1:5" ht="15" customHeight="1" x14ac:dyDescent="0.25">
      <c r="A1524">
        <v>760</v>
      </c>
      <c r="B1524" t="s">
        <v>146</v>
      </c>
      <c r="C1524">
        <v>841</v>
      </c>
      <c r="D1524" t="s">
        <v>160</v>
      </c>
      <c r="E1524">
        <v>1.32</v>
      </c>
    </row>
    <row r="1525" spans="1:5" ht="15" customHeight="1" x14ac:dyDescent="0.25">
      <c r="A1525">
        <v>760</v>
      </c>
      <c r="B1525" t="s">
        <v>146</v>
      </c>
      <c r="C1525">
        <v>842</v>
      </c>
      <c r="D1525" t="s">
        <v>161</v>
      </c>
      <c r="E1525">
        <v>5.81</v>
      </c>
    </row>
    <row r="1526" spans="1:5" ht="15" customHeight="1" x14ac:dyDescent="0.25">
      <c r="A1526">
        <v>760</v>
      </c>
      <c r="B1526" t="s">
        <v>146</v>
      </c>
      <c r="C1526">
        <v>847</v>
      </c>
      <c r="D1526" t="s">
        <v>162</v>
      </c>
      <c r="E1526">
        <v>1.81</v>
      </c>
    </row>
    <row r="1527" spans="1:5" ht="15" customHeight="1" x14ac:dyDescent="0.25">
      <c r="A1527">
        <v>760</v>
      </c>
      <c r="B1527" t="s">
        <v>146</v>
      </c>
      <c r="C1527">
        <v>877</v>
      </c>
      <c r="D1527" t="s">
        <v>163</v>
      </c>
      <c r="E1527">
        <v>21.3</v>
      </c>
    </row>
    <row r="1528" spans="1:5" ht="15" customHeight="1" x14ac:dyDescent="0.25">
      <c r="A1528">
        <v>760</v>
      </c>
      <c r="B1528" t="s">
        <v>146</v>
      </c>
      <c r="C1528">
        <v>898</v>
      </c>
      <c r="D1528" t="s">
        <v>164</v>
      </c>
      <c r="E1528">
        <v>5.08</v>
      </c>
    </row>
    <row r="1529" spans="1:5" ht="15" customHeight="1" x14ac:dyDescent="0.25">
      <c r="A1529">
        <v>760</v>
      </c>
      <c r="B1529" t="s">
        <v>146</v>
      </c>
      <c r="C1529">
        <v>899</v>
      </c>
      <c r="D1529" t="s">
        <v>165</v>
      </c>
      <c r="E1529">
        <v>6.65</v>
      </c>
    </row>
    <row r="1530" spans="1:5" ht="15" customHeight="1" x14ac:dyDescent="0.25">
      <c r="A1530">
        <v>760</v>
      </c>
      <c r="B1530" t="s">
        <v>146</v>
      </c>
      <c r="C1530">
        <v>1912</v>
      </c>
      <c r="D1530" t="s">
        <v>166</v>
      </c>
      <c r="E1530">
        <v>26.6</v>
      </c>
    </row>
    <row r="1531" spans="1:5" ht="15" customHeight="1" x14ac:dyDescent="0.25">
      <c r="A1531">
        <v>760</v>
      </c>
      <c r="B1531" t="s">
        <v>146</v>
      </c>
      <c r="C1531">
        <v>9999</v>
      </c>
      <c r="D1531" t="s">
        <v>117</v>
      </c>
      <c r="E1531">
        <v>2.4700000000000002</v>
      </c>
    </row>
    <row r="1532" spans="1:5" ht="15" customHeight="1" x14ac:dyDescent="0.25">
      <c r="A1532">
        <v>765</v>
      </c>
      <c r="B1532" t="s">
        <v>147</v>
      </c>
      <c r="C1532">
        <v>1</v>
      </c>
      <c r="D1532" t="s">
        <v>117</v>
      </c>
      <c r="E1532">
        <v>4.4000000000000004</v>
      </c>
    </row>
    <row r="1533" spans="1:5" ht="15" customHeight="1" x14ac:dyDescent="0.25">
      <c r="A1533">
        <v>765</v>
      </c>
      <c r="B1533" t="s">
        <v>147</v>
      </c>
      <c r="C1533">
        <v>3</v>
      </c>
      <c r="D1533" t="s">
        <v>118</v>
      </c>
      <c r="E1533">
        <v>54.67</v>
      </c>
    </row>
    <row r="1534" spans="1:5" ht="15" customHeight="1" x14ac:dyDescent="0.25">
      <c r="A1534">
        <v>765</v>
      </c>
      <c r="B1534" t="s">
        <v>147</v>
      </c>
      <c r="C1534">
        <v>5</v>
      </c>
      <c r="D1534" t="s">
        <v>119</v>
      </c>
      <c r="E1534">
        <v>102.23</v>
      </c>
    </row>
    <row r="1535" spans="1:5" ht="15" customHeight="1" x14ac:dyDescent="0.25">
      <c r="A1535">
        <v>765</v>
      </c>
      <c r="B1535" t="s">
        <v>147</v>
      </c>
      <c r="C1535">
        <v>11</v>
      </c>
      <c r="D1535" t="s">
        <v>120</v>
      </c>
      <c r="E1535">
        <v>81.12</v>
      </c>
    </row>
    <row r="1536" spans="1:5" ht="15" customHeight="1" x14ac:dyDescent="0.25">
      <c r="A1536">
        <v>765</v>
      </c>
      <c r="B1536" t="s">
        <v>147</v>
      </c>
      <c r="C1536">
        <v>12</v>
      </c>
      <c r="D1536" t="s">
        <v>121</v>
      </c>
      <c r="E1536">
        <v>54.78</v>
      </c>
    </row>
    <row r="1537" spans="1:5" ht="15" customHeight="1" x14ac:dyDescent="0.25">
      <c r="A1537">
        <v>765</v>
      </c>
      <c r="B1537" t="s">
        <v>147</v>
      </c>
      <c r="C1537">
        <v>29</v>
      </c>
      <c r="D1537" t="s">
        <v>122</v>
      </c>
      <c r="E1537">
        <v>122.29</v>
      </c>
    </row>
    <row r="1538" spans="1:5" ht="15" customHeight="1" x14ac:dyDescent="0.25">
      <c r="A1538">
        <v>765</v>
      </c>
      <c r="B1538" t="s">
        <v>147</v>
      </c>
      <c r="C1538">
        <v>70</v>
      </c>
      <c r="D1538" t="s">
        <v>123</v>
      </c>
      <c r="E1538">
        <v>83.49</v>
      </c>
    </row>
    <row r="1539" spans="1:5" ht="15" customHeight="1" x14ac:dyDescent="0.25">
      <c r="A1539">
        <v>765</v>
      </c>
      <c r="B1539" t="s">
        <v>147</v>
      </c>
      <c r="C1539">
        <v>71</v>
      </c>
      <c r="D1539" t="s">
        <v>124</v>
      </c>
      <c r="E1539">
        <v>129.69</v>
      </c>
    </row>
    <row r="1540" spans="1:5" ht="15" customHeight="1" x14ac:dyDescent="0.25">
      <c r="A1540">
        <v>765</v>
      </c>
      <c r="B1540" t="s">
        <v>147</v>
      </c>
      <c r="C1540">
        <v>384</v>
      </c>
      <c r="D1540" t="s">
        <v>125</v>
      </c>
      <c r="E1540">
        <v>5.05</v>
      </c>
    </row>
    <row r="1541" spans="1:5" ht="15" customHeight="1" x14ac:dyDescent="0.25">
      <c r="A1541">
        <v>765</v>
      </c>
      <c r="B1541" t="s">
        <v>147</v>
      </c>
      <c r="C1541">
        <v>429</v>
      </c>
      <c r="D1541" t="s">
        <v>126</v>
      </c>
      <c r="E1541">
        <v>73.61</v>
      </c>
    </row>
    <row r="1542" spans="1:5" ht="15" customHeight="1" x14ac:dyDescent="0.25">
      <c r="A1542">
        <v>765</v>
      </c>
      <c r="B1542" t="s">
        <v>147</v>
      </c>
      <c r="C1542">
        <v>486</v>
      </c>
      <c r="D1542" t="s">
        <v>127</v>
      </c>
      <c r="E1542">
        <v>65.430000000000007</v>
      </c>
    </row>
    <row r="1543" spans="1:5" ht="15" customHeight="1" x14ac:dyDescent="0.25">
      <c r="A1543">
        <v>765</v>
      </c>
      <c r="B1543" t="s">
        <v>147</v>
      </c>
      <c r="C1543">
        <v>546</v>
      </c>
      <c r="D1543" t="s">
        <v>128</v>
      </c>
      <c r="E1543">
        <v>69.3</v>
      </c>
    </row>
    <row r="1544" spans="1:5" ht="15" customHeight="1" x14ac:dyDescent="0.25">
      <c r="A1544">
        <v>765</v>
      </c>
      <c r="B1544" t="s">
        <v>147</v>
      </c>
      <c r="C1544">
        <v>599</v>
      </c>
      <c r="D1544" t="s">
        <v>129</v>
      </c>
      <c r="E1544">
        <v>4.1100000000000003</v>
      </c>
    </row>
    <row r="1545" spans="1:5" ht="15" customHeight="1" x14ac:dyDescent="0.25">
      <c r="A1545">
        <v>765</v>
      </c>
      <c r="B1545" t="s">
        <v>147</v>
      </c>
      <c r="C1545">
        <v>620</v>
      </c>
      <c r="D1545" t="s">
        <v>130</v>
      </c>
      <c r="E1545">
        <v>45.52</v>
      </c>
    </row>
    <row r="1546" spans="1:5" ht="15" customHeight="1" x14ac:dyDescent="0.25">
      <c r="A1546">
        <v>765</v>
      </c>
      <c r="B1546" t="s">
        <v>147</v>
      </c>
      <c r="C1546">
        <v>626</v>
      </c>
      <c r="D1546" t="s">
        <v>131</v>
      </c>
      <c r="E1546">
        <v>0.98</v>
      </c>
    </row>
    <row r="1547" spans="1:5" ht="15" customHeight="1" x14ac:dyDescent="0.25">
      <c r="A1547">
        <v>765</v>
      </c>
      <c r="B1547" t="s">
        <v>147</v>
      </c>
      <c r="C1547">
        <v>627</v>
      </c>
      <c r="D1547" t="s">
        <v>132</v>
      </c>
      <c r="E1547">
        <v>9.3800000000000008</v>
      </c>
    </row>
    <row r="1548" spans="1:5" ht="15" customHeight="1" x14ac:dyDescent="0.25">
      <c r="A1548">
        <v>765</v>
      </c>
      <c r="B1548" t="s">
        <v>147</v>
      </c>
      <c r="C1548">
        <v>651</v>
      </c>
      <c r="D1548" t="s">
        <v>133</v>
      </c>
      <c r="E1548">
        <v>6.49</v>
      </c>
    </row>
    <row r="1549" spans="1:5" ht="15" customHeight="1" x14ac:dyDescent="0.25">
      <c r="A1549">
        <v>765</v>
      </c>
      <c r="B1549" t="s">
        <v>147</v>
      </c>
      <c r="C1549">
        <v>668</v>
      </c>
      <c r="D1549" t="s">
        <v>134</v>
      </c>
      <c r="E1549">
        <v>2.8</v>
      </c>
    </row>
    <row r="1550" spans="1:5" ht="15" customHeight="1" x14ac:dyDescent="0.25">
      <c r="A1550">
        <v>765</v>
      </c>
      <c r="B1550" t="s">
        <v>147</v>
      </c>
      <c r="C1550">
        <v>681</v>
      </c>
      <c r="D1550" t="s">
        <v>135</v>
      </c>
      <c r="E1550">
        <v>5.53</v>
      </c>
    </row>
    <row r="1551" spans="1:5" ht="15" customHeight="1" x14ac:dyDescent="0.25">
      <c r="A1551">
        <v>765</v>
      </c>
      <c r="B1551" t="s">
        <v>147</v>
      </c>
      <c r="C1551">
        <v>682</v>
      </c>
      <c r="D1551" t="s">
        <v>136</v>
      </c>
      <c r="E1551">
        <v>4.8</v>
      </c>
    </row>
    <row r="1552" spans="1:5" ht="15" customHeight="1" x14ac:dyDescent="0.25">
      <c r="A1552">
        <v>765</v>
      </c>
      <c r="B1552" t="s">
        <v>147</v>
      </c>
      <c r="C1552">
        <v>683</v>
      </c>
      <c r="D1552" t="s">
        <v>137</v>
      </c>
      <c r="E1552">
        <v>4.92</v>
      </c>
    </row>
    <row r="1553" spans="1:5" ht="15" customHeight="1" x14ac:dyDescent="0.25">
      <c r="A1553">
        <v>765</v>
      </c>
      <c r="B1553" t="s">
        <v>147</v>
      </c>
      <c r="C1553">
        <v>684</v>
      </c>
      <c r="D1553" t="s">
        <v>138</v>
      </c>
      <c r="E1553">
        <v>3.11</v>
      </c>
    </row>
    <row r="1554" spans="1:5" ht="15" customHeight="1" x14ac:dyDescent="0.25">
      <c r="A1554">
        <v>765</v>
      </c>
      <c r="B1554" t="s">
        <v>147</v>
      </c>
      <c r="C1554">
        <v>685</v>
      </c>
      <c r="D1554" t="s">
        <v>139</v>
      </c>
      <c r="E1554">
        <v>4.2300000000000004</v>
      </c>
    </row>
    <row r="1555" spans="1:5" ht="15" customHeight="1" x14ac:dyDescent="0.25">
      <c r="A1555">
        <v>765</v>
      </c>
      <c r="B1555" t="s">
        <v>147</v>
      </c>
      <c r="C1555">
        <v>691</v>
      </c>
      <c r="D1555" t="s">
        <v>140</v>
      </c>
      <c r="E1555">
        <v>5.08</v>
      </c>
    </row>
    <row r="1556" spans="1:5" ht="15" customHeight="1" x14ac:dyDescent="0.25">
      <c r="A1556">
        <v>765</v>
      </c>
      <c r="B1556" t="s">
        <v>147</v>
      </c>
      <c r="C1556">
        <v>706</v>
      </c>
      <c r="D1556" t="s">
        <v>141</v>
      </c>
      <c r="E1556">
        <v>6.15</v>
      </c>
    </row>
    <row r="1557" spans="1:5" ht="15" customHeight="1" x14ac:dyDescent="0.25">
      <c r="A1557">
        <v>765</v>
      </c>
      <c r="B1557" t="s">
        <v>147</v>
      </c>
      <c r="C1557">
        <v>713</v>
      </c>
      <c r="D1557" t="s">
        <v>142</v>
      </c>
      <c r="E1557">
        <v>3.65</v>
      </c>
    </row>
    <row r="1558" spans="1:5" ht="15" customHeight="1" x14ac:dyDescent="0.25">
      <c r="A1558">
        <v>765</v>
      </c>
      <c r="B1558" t="s">
        <v>147</v>
      </c>
      <c r="C1558">
        <v>718</v>
      </c>
      <c r="D1558" t="s">
        <v>143</v>
      </c>
      <c r="E1558">
        <v>7.31</v>
      </c>
    </row>
    <row r="1559" spans="1:5" ht="15" customHeight="1" x14ac:dyDescent="0.25">
      <c r="A1559">
        <v>765</v>
      </c>
      <c r="B1559" t="s">
        <v>147</v>
      </c>
      <c r="C1559">
        <v>731</v>
      </c>
      <c r="D1559" t="s">
        <v>144</v>
      </c>
      <c r="E1559">
        <v>26.5</v>
      </c>
    </row>
    <row r="1560" spans="1:5" ht="15" customHeight="1" x14ac:dyDescent="0.25">
      <c r="A1560">
        <v>765</v>
      </c>
      <c r="B1560" t="s">
        <v>147</v>
      </c>
      <c r="C1560">
        <v>743</v>
      </c>
      <c r="D1560" t="s">
        <v>145</v>
      </c>
      <c r="E1560">
        <v>12.23</v>
      </c>
    </row>
    <row r="1561" spans="1:5" ht="15" customHeight="1" x14ac:dyDescent="0.25">
      <c r="A1561">
        <v>765</v>
      </c>
      <c r="B1561" t="s">
        <v>147</v>
      </c>
      <c r="C1561">
        <v>760</v>
      </c>
      <c r="D1561" t="s">
        <v>146</v>
      </c>
      <c r="E1561">
        <v>4.32</v>
      </c>
    </row>
    <row r="1562" spans="1:5" ht="15" customHeight="1" x14ac:dyDescent="0.25">
      <c r="A1562">
        <v>765</v>
      </c>
      <c r="B1562" t="s">
        <v>147</v>
      </c>
      <c r="C1562">
        <v>765</v>
      </c>
      <c r="D1562" t="s">
        <v>147</v>
      </c>
      <c r="E1562">
        <v>0</v>
      </c>
    </row>
    <row r="1563" spans="1:5" ht="15" customHeight="1" x14ac:dyDescent="0.25">
      <c r="A1563">
        <v>765</v>
      </c>
      <c r="B1563" t="s">
        <v>147</v>
      </c>
      <c r="C1563">
        <v>766</v>
      </c>
      <c r="D1563" t="s">
        <v>148</v>
      </c>
      <c r="E1563">
        <v>6.09</v>
      </c>
    </row>
    <row r="1564" spans="1:5" ht="15" customHeight="1" x14ac:dyDescent="0.25">
      <c r="A1564">
        <v>765</v>
      </c>
      <c r="B1564" t="s">
        <v>147</v>
      </c>
      <c r="C1564">
        <v>767</v>
      </c>
      <c r="D1564" t="s">
        <v>149</v>
      </c>
      <c r="E1564">
        <v>10.39</v>
      </c>
    </row>
    <row r="1565" spans="1:5" ht="15" customHeight="1" x14ac:dyDescent="0.25">
      <c r="A1565">
        <v>765</v>
      </c>
      <c r="B1565" t="s">
        <v>147</v>
      </c>
      <c r="C1565">
        <v>795</v>
      </c>
      <c r="D1565" t="s">
        <v>150</v>
      </c>
      <c r="E1565">
        <v>3.88</v>
      </c>
    </row>
    <row r="1566" spans="1:5" ht="15" customHeight="1" x14ac:dyDescent="0.25">
      <c r="A1566">
        <v>765</v>
      </c>
      <c r="B1566" t="s">
        <v>147</v>
      </c>
      <c r="C1566">
        <v>798</v>
      </c>
      <c r="D1566" t="s">
        <v>151</v>
      </c>
      <c r="E1566">
        <v>5.18</v>
      </c>
    </row>
    <row r="1567" spans="1:5" ht="15" customHeight="1" x14ac:dyDescent="0.25">
      <c r="A1567">
        <v>765</v>
      </c>
      <c r="B1567" t="s">
        <v>147</v>
      </c>
      <c r="C1567">
        <v>799</v>
      </c>
      <c r="D1567" t="s">
        <v>152</v>
      </c>
      <c r="E1567">
        <v>1.35</v>
      </c>
    </row>
    <row r="1568" spans="1:5" ht="15" customHeight="1" x14ac:dyDescent="0.25">
      <c r="A1568">
        <v>765</v>
      </c>
      <c r="B1568" t="s">
        <v>147</v>
      </c>
      <c r="C1568">
        <v>811</v>
      </c>
      <c r="D1568" t="s">
        <v>153</v>
      </c>
      <c r="E1568">
        <v>9.07</v>
      </c>
    </row>
    <row r="1569" spans="1:5" ht="15" customHeight="1" x14ac:dyDescent="0.25">
      <c r="A1569">
        <v>765</v>
      </c>
      <c r="B1569" t="s">
        <v>147</v>
      </c>
      <c r="C1569">
        <v>820</v>
      </c>
      <c r="D1569" t="s">
        <v>154</v>
      </c>
      <c r="E1569">
        <v>4.28</v>
      </c>
    </row>
    <row r="1570" spans="1:5" ht="15" customHeight="1" x14ac:dyDescent="0.25">
      <c r="A1570">
        <v>765</v>
      </c>
      <c r="B1570" t="s">
        <v>147</v>
      </c>
      <c r="C1570">
        <v>830</v>
      </c>
      <c r="D1570" t="s">
        <v>155</v>
      </c>
      <c r="E1570">
        <v>4.78</v>
      </c>
    </row>
    <row r="1571" spans="1:5" ht="15" customHeight="1" x14ac:dyDescent="0.25">
      <c r="A1571">
        <v>765</v>
      </c>
      <c r="B1571" t="s">
        <v>147</v>
      </c>
      <c r="C1571">
        <v>831</v>
      </c>
      <c r="D1571" t="s">
        <v>156</v>
      </c>
      <c r="E1571">
        <v>5.08</v>
      </c>
    </row>
    <row r="1572" spans="1:5" ht="15" customHeight="1" x14ac:dyDescent="0.25">
      <c r="A1572">
        <v>765</v>
      </c>
      <c r="B1572" t="s">
        <v>147</v>
      </c>
      <c r="C1572">
        <v>832</v>
      </c>
      <c r="D1572" t="s">
        <v>157</v>
      </c>
      <c r="E1572">
        <v>4.03</v>
      </c>
    </row>
    <row r="1573" spans="1:5" ht="15" customHeight="1" x14ac:dyDescent="0.25">
      <c r="A1573">
        <v>765</v>
      </c>
      <c r="B1573" t="s">
        <v>147</v>
      </c>
      <c r="C1573">
        <v>833</v>
      </c>
      <c r="D1573" t="s">
        <v>158</v>
      </c>
      <c r="E1573">
        <v>2.84</v>
      </c>
    </row>
    <row r="1574" spans="1:5" ht="15" customHeight="1" x14ac:dyDescent="0.25">
      <c r="A1574">
        <v>765</v>
      </c>
      <c r="B1574" t="s">
        <v>147</v>
      </c>
      <c r="C1574">
        <v>840</v>
      </c>
      <c r="D1574" t="s">
        <v>159</v>
      </c>
      <c r="E1574">
        <v>4.5199999999999996</v>
      </c>
    </row>
    <row r="1575" spans="1:5" ht="15" customHeight="1" x14ac:dyDescent="0.25">
      <c r="A1575">
        <v>765</v>
      </c>
      <c r="B1575" t="s">
        <v>147</v>
      </c>
      <c r="C1575">
        <v>841</v>
      </c>
      <c r="D1575" t="s">
        <v>160</v>
      </c>
      <c r="E1575">
        <v>5.23</v>
      </c>
    </row>
    <row r="1576" spans="1:5" ht="15" customHeight="1" x14ac:dyDescent="0.25">
      <c r="A1576">
        <v>765</v>
      </c>
      <c r="B1576" t="s">
        <v>147</v>
      </c>
      <c r="C1576">
        <v>842</v>
      </c>
      <c r="D1576" t="s">
        <v>161</v>
      </c>
      <c r="E1576">
        <v>5.46</v>
      </c>
    </row>
    <row r="1577" spans="1:5" ht="15" customHeight="1" x14ac:dyDescent="0.25">
      <c r="A1577">
        <v>765</v>
      </c>
      <c r="B1577" t="s">
        <v>147</v>
      </c>
      <c r="C1577">
        <v>847</v>
      </c>
      <c r="D1577" t="s">
        <v>162</v>
      </c>
      <c r="E1577">
        <v>5.7</v>
      </c>
    </row>
    <row r="1578" spans="1:5" ht="15" customHeight="1" x14ac:dyDescent="0.25">
      <c r="A1578">
        <v>765</v>
      </c>
      <c r="B1578" t="s">
        <v>147</v>
      </c>
      <c r="C1578">
        <v>877</v>
      </c>
      <c r="D1578" t="s">
        <v>163</v>
      </c>
      <c r="E1578">
        <v>16.989999999999998</v>
      </c>
    </row>
    <row r="1579" spans="1:5" ht="15" customHeight="1" x14ac:dyDescent="0.25">
      <c r="A1579">
        <v>765</v>
      </c>
      <c r="B1579" t="s">
        <v>147</v>
      </c>
      <c r="C1579">
        <v>898</v>
      </c>
      <c r="D1579" t="s">
        <v>164</v>
      </c>
      <c r="E1579">
        <v>1.96</v>
      </c>
    </row>
    <row r="1580" spans="1:5" ht="15" customHeight="1" x14ac:dyDescent="0.25">
      <c r="A1580">
        <v>765</v>
      </c>
      <c r="B1580" t="s">
        <v>147</v>
      </c>
      <c r="C1580">
        <v>899</v>
      </c>
      <c r="D1580" t="s">
        <v>165</v>
      </c>
      <c r="E1580">
        <v>7.41</v>
      </c>
    </row>
    <row r="1581" spans="1:5" ht="15" customHeight="1" x14ac:dyDescent="0.25">
      <c r="A1581">
        <v>765</v>
      </c>
      <c r="B1581" t="s">
        <v>147</v>
      </c>
      <c r="C1581">
        <v>1912</v>
      </c>
      <c r="D1581" t="s">
        <v>166</v>
      </c>
      <c r="E1581">
        <v>22.3</v>
      </c>
    </row>
    <row r="1582" spans="1:5" ht="15" customHeight="1" x14ac:dyDescent="0.25">
      <c r="A1582">
        <v>765</v>
      </c>
      <c r="B1582" t="s">
        <v>147</v>
      </c>
      <c r="C1582">
        <v>9999</v>
      </c>
      <c r="D1582" t="s">
        <v>117</v>
      </c>
      <c r="E1582">
        <v>4.4000000000000004</v>
      </c>
    </row>
    <row r="1583" spans="1:5" ht="15" customHeight="1" x14ac:dyDescent="0.25">
      <c r="A1583">
        <v>766</v>
      </c>
      <c r="B1583" t="s">
        <v>148</v>
      </c>
      <c r="C1583">
        <v>1</v>
      </c>
      <c r="D1583" t="s">
        <v>117</v>
      </c>
      <c r="E1583">
        <v>1.77</v>
      </c>
    </row>
    <row r="1584" spans="1:5" ht="15" customHeight="1" x14ac:dyDescent="0.25">
      <c r="A1584">
        <v>766</v>
      </c>
      <c r="B1584" t="s">
        <v>148</v>
      </c>
      <c r="C1584">
        <v>3</v>
      </c>
      <c r="D1584" t="s">
        <v>118</v>
      </c>
      <c r="E1584">
        <v>59.65</v>
      </c>
    </row>
    <row r="1585" spans="1:5" ht="15" customHeight="1" x14ac:dyDescent="0.25">
      <c r="A1585">
        <v>766</v>
      </c>
      <c r="B1585" t="s">
        <v>148</v>
      </c>
      <c r="C1585">
        <v>5</v>
      </c>
      <c r="D1585" t="s">
        <v>119</v>
      </c>
      <c r="E1585">
        <v>106.92</v>
      </c>
    </row>
    <row r="1586" spans="1:5" ht="15" customHeight="1" x14ac:dyDescent="0.25">
      <c r="A1586">
        <v>766</v>
      </c>
      <c r="B1586" t="s">
        <v>148</v>
      </c>
      <c r="C1586">
        <v>11</v>
      </c>
      <c r="D1586" t="s">
        <v>120</v>
      </c>
      <c r="E1586">
        <v>87.2</v>
      </c>
    </row>
    <row r="1587" spans="1:5" ht="15" customHeight="1" x14ac:dyDescent="0.25">
      <c r="A1587">
        <v>766</v>
      </c>
      <c r="B1587" t="s">
        <v>148</v>
      </c>
      <c r="C1587">
        <v>12</v>
      </c>
      <c r="D1587" t="s">
        <v>121</v>
      </c>
      <c r="E1587">
        <v>54.36</v>
      </c>
    </row>
    <row r="1588" spans="1:5" ht="15" customHeight="1" x14ac:dyDescent="0.25">
      <c r="A1588">
        <v>766</v>
      </c>
      <c r="B1588" t="s">
        <v>148</v>
      </c>
      <c r="C1588">
        <v>29</v>
      </c>
      <c r="D1588" t="s">
        <v>122</v>
      </c>
      <c r="E1588">
        <v>120.95</v>
      </c>
    </row>
    <row r="1589" spans="1:5" ht="15" customHeight="1" x14ac:dyDescent="0.25">
      <c r="A1589">
        <v>766</v>
      </c>
      <c r="B1589" t="s">
        <v>148</v>
      </c>
      <c r="C1589">
        <v>70</v>
      </c>
      <c r="D1589" t="s">
        <v>123</v>
      </c>
      <c r="E1589">
        <v>80.28</v>
      </c>
    </row>
    <row r="1590" spans="1:5" ht="15" customHeight="1" x14ac:dyDescent="0.25">
      <c r="A1590">
        <v>766</v>
      </c>
      <c r="B1590" t="s">
        <v>148</v>
      </c>
      <c r="C1590">
        <v>71</v>
      </c>
      <c r="D1590" t="s">
        <v>124</v>
      </c>
      <c r="E1590">
        <v>123.91</v>
      </c>
    </row>
    <row r="1591" spans="1:5" ht="15" customHeight="1" x14ac:dyDescent="0.25">
      <c r="A1591">
        <v>766</v>
      </c>
      <c r="B1591" t="s">
        <v>148</v>
      </c>
      <c r="C1591">
        <v>384</v>
      </c>
      <c r="D1591" t="s">
        <v>125</v>
      </c>
      <c r="E1591">
        <v>1.61</v>
      </c>
    </row>
    <row r="1592" spans="1:5" ht="15" customHeight="1" x14ac:dyDescent="0.25">
      <c r="A1592">
        <v>766</v>
      </c>
      <c r="B1592" t="s">
        <v>148</v>
      </c>
      <c r="C1592">
        <v>429</v>
      </c>
      <c r="D1592" t="s">
        <v>126</v>
      </c>
      <c r="E1592">
        <v>67.819999999999993</v>
      </c>
    </row>
    <row r="1593" spans="1:5" ht="15" customHeight="1" x14ac:dyDescent="0.25">
      <c r="A1593">
        <v>766</v>
      </c>
      <c r="B1593" t="s">
        <v>148</v>
      </c>
      <c r="C1593">
        <v>486</v>
      </c>
      <c r="D1593" t="s">
        <v>127</v>
      </c>
      <c r="E1593">
        <v>66.510000000000005</v>
      </c>
    </row>
    <row r="1594" spans="1:5" ht="15" customHeight="1" x14ac:dyDescent="0.25">
      <c r="A1594">
        <v>766</v>
      </c>
      <c r="B1594" t="s">
        <v>148</v>
      </c>
      <c r="C1594">
        <v>546</v>
      </c>
      <c r="D1594" t="s">
        <v>128</v>
      </c>
      <c r="E1594">
        <v>73.3</v>
      </c>
    </row>
    <row r="1595" spans="1:5" ht="15" customHeight="1" x14ac:dyDescent="0.25">
      <c r="A1595">
        <v>766</v>
      </c>
      <c r="B1595" t="s">
        <v>148</v>
      </c>
      <c r="C1595">
        <v>599</v>
      </c>
      <c r="D1595" t="s">
        <v>129</v>
      </c>
      <c r="E1595">
        <v>6.01</v>
      </c>
    </row>
    <row r="1596" spans="1:5" ht="15" customHeight="1" x14ac:dyDescent="0.25">
      <c r="A1596">
        <v>766</v>
      </c>
      <c r="B1596" t="s">
        <v>148</v>
      </c>
      <c r="C1596">
        <v>620</v>
      </c>
      <c r="D1596" t="s">
        <v>130</v>
      </c>
      <c r="E1596">
        <v>40.229999999999997</v>
      </c>
    </row>
    <row r="1597" spans="1:5" ht="15" customHeight="1" x14ac:dyDescent="0.25">
      <c r="A1597">
        <v>766</v>
      </c>
      <c r="B1597" t="s">
        <v>148</v>
      </c>
      <c r="C1597">
        <v>626</v>
      </c>
      <c r="D1597" t="s">
        <v>131</v>
      </c>
      <c r="E1597">
        <v>5.22</v>
      </c>
    </row>
    <row r="1598" spans="1:5" ht="15" customHeight="1" x14ac:dyDescent="0.25">
      <c r="A1598">
        <v>766</v>
      </c>
      <c r="B1598" t="s">
        <v>148</v>
      </c>
      <c r="C1598">
        <v>627</v>
      </c>
      <c r="D1598" t="s">
        <v>132</v>
      </c>
      <c r="E1598">
        <v>3.38</v>
      </c>
    </row>
    <row r="1599" spans="1:5" ht="15" customHeight="1" x14ac:dyDescent="0.25">
      <c r="A1599">
        <v>766</v>
      </c>
      <c r="B1599" t="s">
        <v>148</v>
      </c>
      <c r="C1599">
        <v>651</v>
      </c>
      <c r="D1599" t="s">
        <v>133</v>
      </c>
      <c r="E1599">
        <v>2.2400000000000002</v>
      </c>
    </row>
    <row r="1600" spans="1:5" ht="15" customHeight="1" x14ac:dyDescent="0.25">
      <c r="A1600">
        <v>766</v>
      </c>
      <c r="B1600" t="s">
        <v>148</v>
      </c>
      <c r="C1600">
        <v>668</v>
      </c>
      <c r="D1600" t="s">
        <v>134</v>
      </c>
      <c r="E1600">
        <v>4.41</v>
      </c>
    </row>
    <row r="1601" spans="1:5" ht="15" customHeight="1" x14ac:dyDescent="0.25">
      <c r="A1601">
        <v>766</v>
      </c>
      <c r="B1601" t="s">
        <v>148</v>
      </c>
      <c r="C1601">
        <v>681</v>
      </c>
      <c r="D1601" t="s">
        <v>135</v>
      </c>
      <c r="E1601">
        <v>4.18</v>
      </c>
    </row>
    <row r="1602" spans="1:5" ht="15" customHeight="1" x14ac:dyDescent="0.25">
      <c r="A1602">
        <v>766</v>
      </c>
      <c r="B1602" t="s">
        <v>148</v>
      </c>
      <c r="C1602">
        <v>682</v>
      </c>
      <c r="D1602" t="s">
        <v>136</v>
      </c>
      <c r="E1602">
        <v>1.29</v>
      </c>
    </row>
    <row r="1603" spans="1:5" ht="15" customHeight="1" x14ac:dyDescent="0.25">
      <c r="A1603">
        <v>766</v>
      </c>
      <c r="B1603" t="s">
        <v>148</v>
      </c>
      <c r="C1603">
        <v>683</v>
      </c>
      <c r="D1603" t="s">
        <v>137</v>
      </c>
      <c r="E1603">
        <v>1.33</v>
      </c>
    </row>
    <row r="1604" spans="1:5" ht="15" customHeight="1" x14ac:dyDescent="0.25">
      <c r="A1604">
        <v>766</v>
      </c>
      <c r="B1604" t="s">
        <v>148</v>
      </c>
      <c r="C1604">
        <v>684</v>
      </c>
      <c r="D1604" t="s">
        <v>138</v>
      </c>
      <c r="E1604">
        <v>3.11</v>
      </c>
    </row>
    <row r="1605" spans="1:5" ht="15" customHeight="1" x14ac:dyDescent="0.25">
      <c r="A1605">
        <v>766</v>
      </c>
      <c r="B1605" t="s">
        <v>148</v>
      </c>
      <c r="C1605">
        <v>685</v>
      </c>
      <c r="D1605" t="s">
        <v>139</v>
      </c>
      <c r="E1605">
        <v>3.23</v>
      </c>
    </row>
    <row r="1606" spans="1:5" ht="15" customHeight="1" x14ac:dyDescent="0.25">
      <c r="A1606">
        <v>766</v>
      </c>
      <c r="B1606" t="s">
        <v>148</v>
      </c>
      <c r="C1606">
        <v>691</v>
      </c>
      <c r="D1606" t="s">
        <v>140</v>
      </c>
      <c r="E1606">
        <v>4.32</v>
      </c>
    </row>
    <row r="1607" spans="1:5" ht="15" customHeight="1" x14ac:dyDescent="0.25">
      <c r="A1607">
        <v>766</v>
      </c>
      <c r="B1607" t="s">
        <v>148</v>
      </c>
      <c r="C1607">
        <v>706</v>
      </c>
      <c r="D1607" t="s">
        <v>141</v>
      </c>
      <c r="E1607">
        <v>1.82</v>
      </c>
    </row>
    <row r="1608" spans="1:5" ht="15" customHeight="1" x14ac:dyDescent="0.25">
      <c r="A1608">
        <v>766</v>
      </c>
      <c r="B1608" t="s">
        <v>148</v>
      </c>
      <c r="C1608">
        <v>713</v>
      </c>
      <c r="D1608" t="s">
        <v>142</v>
      </c>
      <c r="E1608">
        <v>2.79</v>
      </c>
    </row>
    <row r="1609" spans="1:5" ht="15" customHeight="1" x14ac:dyDescent="0.25">
      <c r="A1609">
        <v>766</v>
      </c>
      <c r="B1609" t="s">
        <v>148</v>
      </c>
      <c r="C1609">
        <v>718</v>
      </c>
      <c r="D1609" t="s">
        <v>143</v>
      </c>
      <c r="E1609">
        <v>1.26</v>
      </c>
    </row>
    <row r="1610" spans="1:5" ht="15" customHeight="1" x14ac:dyDescent="0.25">
      <c r="A1610">
        <v>766</v>
      </c>
      <c r="B1610" t="s">
        <v>148</v>
      </c>
      <c r="C1610">
        <v>731</v>
      </c>
      <c r="D1610" t="s">
        <v>144</v>
      </c>
      <c r="E1610">
        <v>31.62</v>
      </c>
    </row>
    <row r="1611" spans="1:5" ht="15" customHeight="1" x14ac:dyDescent="0.25">
      <c r="A1611">
        <v>766</v>
      </c>
      <c r="B1611" t="s">
        <v>148</v>
      </c>
      <c r="C1611">
        <v>743</v>
      </c>
      <c r="D1611" t="s">
        <v>145</v>
      </c>
      <c r="E1611">
        <v>16.38</v>
      </c>
    </row>
    <row r="1612" spans="1:5" ht="15" customHeight="1" x14ac:dyDescent="0.25">
      <c r="A1612">
        <v>766</v>
      </c>
      <c r="B1612" t="s">
        <v>148</v>
      </c>
      <c r="C1612">
        <v>760</v>
      </c>
      <c r="D1612" t="s">
        <v>146</v>
      </c>
      <c r="E1612">
        <v>3.83</v>
      </c>
    </row>
    <row r="1613" spans="1:5" ht="15" customHeight="1" x14ac:dyDescent="0.25">
      <c r="A1613">
        <v>766</v>
      </c>
      <c r="B1613" t="s">
        <v>148</v>
      </c>
      <c r="C1613">
        <v>765</v>
      </c>
      <c r="D1613" t="s">
        <v>147</v>
      </c>
      <c r="E1613">
        <v>6.09</v>
      </c>
    </row>
    <row r="1614" spans="1:5" ht="15" customHeight="1" x14ac:dyDescent="0.25">
      <c r="A1614">
        <v>766</v>
      </c>
      <c r="B1614" t="s">
        <v>148</v>
      </c>
      <c r="C1614">
        <v>766</v>
      </c>
      <c r="D1614" t="s">
        <v>148</v>
      </c>
      <c r="E1614">
        <v>0</v>
      </c>
    </row>
    <row r="1615" spans="1:5" ht="15" customHeight="1" x14ac:dyDescent="0.25">
      <c r="A1615">
        <v>766</v>
      </c>
      <c r="B1615" t="s">
        <v>148</v>
      </c>
      <c r="C1615">
        <v>767</v>
      </c>
      <c r="D1615" t="s">
        <v>149</v>
      </c>
      <c r="E1615">
        <v>5.26</v>
      </c>
    </row>
    <row r="1616" spans="1:5" ht="15" customHeight="1" x14ac:dyDescent="0.25">
      <c r="A1616">
        <v>766</v>
      </c>
      <c r="B1616" t="s">
        <v>148</v>
      </c>
      <c r="C1616">
        <v>795</v>
      </c>
      <c r="D1616" t="s">
        <v>150</v>
      </c>
      <c r="E1616">
        <v>2.96</v>
      </c>
    </row>
    <row r="1617" spans="1:5" ht="15" customHeight="1" x14ac:dyDescent="0.25">
      <c r="A1617">
        <v>766</v>
      </c>
      <c r="B1617" t="s">
        <v>148</v>
      </c>
      <c r="C1617">
        <v>798</v>
      </c>
      <c r="D1617" t="s">
        <v>151</v>
      </c>
      <c r="E1617">
        <v>5.83</v>
      </c>
    </row>
    <row r="1618" spans="1:5" ht="15" customHeight="1" x14ac:dyDescent="0.25">
      <c r="A1618">
        <v>766</v>
      </c>
      <c r="B1618" t="s">
        <v>148</v>
      </c>
      <c r="C1618">
        <v>799</v>
      </c>
      <c r="D1618" t="s">
        <v>152</v>
      </c>
      <c r="E1618">
        <v>4.8099999999999996</v>
      </c>
    </row>
    <row r="1619" spans="1:5" ht="15" customHeight="1" x14ac:dyDescent="0.25">
      <c r="A1619">
        <v>766</v>
      </c>
      <c r="B1619" t="s">
        <v>148</v>
      </c>
      <c r="C1619">
        <v>811</v>
      </c>
      <c r="D1619" t="s">
        <v>153</v>
      </c>
      <c r="E1619">
        <v>4.37</v>
      </c>
    </row>
    <row r="1620" spans="1:5" ht="15" customHeight="1" x14ac:dyDescent="0.25">
      <c r="A1620">
        <v>766</v>
      </c>
      <c r="B1620" t="s">
        <v>148</v>
      </c>
      <c r="C1620">
        <v>820</v>
      </c>
      <c r="D1620" t="s">
        <v>154</v>
      </c>
      <c r="E1620">
        <v>4.7699999999999996</v>
      </c>
    </row>
    <row r="1621" spans="1:5" ht="15" customHeight="1" x14ac:dyDescent="0.25">
      <c r="A1621">
        <v>766</v>
      </c>
      <c r="B1621" t="s">
        <v>148</v>
      </c>
      <c r="C1621">
        <v>830</v>
      </c>
      <c r="D1621" t="s">
        <v>155</v>
      </c>
      <c r="E1621">
        <v>4.96</v>
      </c>
    </row>
    <row r="1622" spans="1:5" ht="15" customHeight="1" x14ac:dyDescent="0.25">
      <c r="A1622">
        <v>766</v>
      </c>
      <c r="B1622" t="s">
        <v>148</v>
      </c>
      <c r="C1622">
        <v>831</v>
      </c>
      <c r="D1622" t="s">
        <v>156</v>
      </c>
      <c r="E1622">
        <v>8.3800000000000008</v>
      </c>
    </row>
    <row r="1623" spans="1:5" ht="15" customHeight="1" x14ac:dyDescent="0.25">
      <c r="A1623">
        <v>766</v>
      </c>
      <c r="B1623" t="s">
        <v>148</v>
      </c>
      <c r="C1623">
        <v>832</v>
      </c>
      <c r="D1623" t="s">
        <v>157</v>
      </c>
      <c r="E1623">
        <v>5.05</v>
      </c>
    </row>
    <row r="1624" spans="1:5" ht="15" customHeight="1" x14ac:dyDescent="0.25">
      <c r="A1624">
        <v>766</v>
      </c>
      <c r="B1624" t="s">
        <v>148</v>
      </c>
      <c r="C1624">
        <v>833</v>
      </c>
      <c r="D1624" t="s">
        <v>158</v>
      </c>
      <c r="E1624">
        <v>3.76</v>
      </c>
    </row>
    <row r="1625" spans="1:5" ht="15" customHeight="1" x14ac:dyDescent="0.25">
      <c r="A1625">
        <v>766</v>
      </c>
      <c r="B1625" t="s">
        <v>148</v>
      </c>
      <c r="C1625">
        <v>840</v>
      </c>
      <c r="D1625" t="s">
        <v>159</v>
      </c>
      <c r="E1625">
        <v>7.24</v>
      </c>
    </row>
    <row r="1626" spans="1:5" ht="15" customHeight="1" x14ac:dyDescent="0.25">
      <c r="A1626">
        <v>766</v>
      </c>
      <c r="B1626" t="s">
        <v>148</v>
      </c>
      <c r="C1626">
        <v>841</v>
      </c>
      <c r="D1626" t="s">
        <v>160</v>
      </c>
      <c r="E1626">
        <v>2.79</v>
      </c>
    </row>
    <row r="1627" spans="1:5" ht="15" customHeight="1" x14ac:dyDescent="0.25">
      <c r="A1627">
        <v>766</v>
      </c>
      <c r="B1627" t="s">
        <v>148</v>
      </c>
      <c r="C1627">
        <v>842</v>
      </c>
      <c r="D1627" t="s">
        <v>161</v>
      </c>
      <c r="E1627">
        <v>3.36</v>
      </c>
    </row>
    <row r="1628" spans="1:5" ht="15" customHeight="1" x14ac:dyDescent="0.25">
      <c r="A1628">
        <v>766</v>
      </c>
      <c r="B1628" t="s">
        <v>148</v>
      </c>
      <c r="C1628">
        <v>847</v>
      </c>
      <c r="D1628" t="s">
        <v>162</v>
      </c>
      <c r="E1628">
        <v>2.59</v>
      </c>
    </row>
    <row r="1629" spans="1:5" ht="15" customHeight="1" x14ac:dyDescent="0.25">
      <c r="A1629">
        <v>766</v>
      </c>
      <c r="B1629" t="s">
        <v>148</v>
      </c>
      <c r="C1629">
        <v>877</v>
      </c>
      <c r="D1629" t="s">
        <v>163</v>
      </c>
      <c r="E1629">
        <v>22.21</v>
      </c>
    </row>
    <row r="1630" spans="1:5" ht="15" customHeight="1" x14ac:dyDescent="0.25">
      <c r="A1630">
        <v>766</v>
      </c>
      <c r="B1630" t="s">
        <v>148</v>
      </c>
      <c r="C1630">
        <v>898</v>
      </c>
      <c r="D1630" t="s">
        <v>164</v>
      </c>
      <c r="E1630">
        <v>5.47</v>
      </c>
    </row>
    <row r="1631" spans="1:5" ht="15" customHeight="1" x14ac:dyDescent="0.25">
      <c r="A1631">
        <v>766</v>
      </c>
      <c r="B1631" t="s">
        <v>148</v>
      </c>
      <c r="C1631">
        <v>899</v>
      </c>
      <c r="D1631" t="s">
        <v>165</v>
      </c>
      <c r="E1631">
        <v>3.1</v>
      </c>
    </row>
    <row r="1632" spans="1:5" ht="15" customHeight="1" x14ac:dyDescent="0.25">
      <c r="A1632">
        <v>766</v>
      </c>
      <c r="B1632" t="s">
        <v>148</v>
      </c>
      <c r="C1632">
        <v>1912</v>
      </c>
      <c r="D1632" t="s">
        <v>166</v>
      </c>
      <c r="E1632">
        <v>27.02</v>
      </c>
    </row>
    <row r="1633" spans="1:5" ht="15" customHeight="1" x14ac:dyDescent="0.25">
      <c r="A1633">
        <v>766</v>
      </c>
      <c r="B1633" t="s">
        <v>148</v>
      </c>
      <c r="C1633">
        <v>9999</v>
      </c>
      <c r="D1633" t="s">
        <v>117</v>
      </c>
      <c r="E1633">
        <v>1.77</v>
      </c>
    </row>
    <row r="1634" spans="1:5" ht="15" customHeight="1" x14ac:dyDescent="0.25">
      <c r="A1634">
        <v>767</v>
      </c>
      <c r="B1634" t="s">
        <v>149</v>
      </c>
      <c r="C1634">
        <v>1</v>
      </c>
      <c r="D1634" t="s">
        <v>117</v>
      </c>
      <c r="E1634">
        <v>6.29</v>
      </c>
    </row>
    <row r="1635" spans="1:5" ht="15" customHeight="1" x14ac:dyDescent="0.25">
      <c r="A1635">
        <v>767</v>
      </c>
      <c r="B1635" t="s">
        <v>149</v>
      </c>
      <c r="C1635">
        <v>3</v>
      </c>
      <c r="D1635" t="s">
        <v>118</v>
      </c>
      <c r="E1635">
        <v>64.77</v>
      </c>
    </row>
    <row r="1636" spans="1:5" ht="15" customHeight="1" x14ac:dyDescent="0.25">
      <c r="A1636">
        <v>767</v>
      </c>
      <c r="B1636" t="s">
        <v>149</v>
      </c>
      <c r="C1636">
        <v>5</v>
      </c>
      <c r="D1636" t="s">
        <v>119</v>
      </c>
      <c r="E1636">
        <v>112.12</v>
      </c>
    </row>
    <row r="1637" spans="1:5" ht="15" customHeight="1" x14ac:dyDescent="0.25">
      <c r="A1637">
        <v>767</v>
      </c>
      <c r="B1637" t="s">
        <v>149</v>
      </c>
      <c r="C1637">
        <v>11</v>
      </c>
      <c r="D1637" t="s">
        <v>120</v>
      </c>
      <c r="E1637">
        <v>91.1</v>
      </c>
    </row>
    <row r="1638" spans="1:5" ht="15" customHeight="1" x14ac:dyDescent="0.25">
      <c r="A1638">
        <v>767</v>
      </c>
      <c r="B1638" t="s">
        <v>149</v>
      </c>
      <c r="C1638">
        <v>12</v>
      </c>
      <c r="D1638" t="s">
        <v>121</v>
      </c>
      <c r="E1638">
        <v>58.3</v>
      </c>
    </row>
    <row r="1639" spans="1:5" ht="15" customHeight="1" x14ac:dyDescent="0.25">
      <c r="A1639">
        <v>767</v>
      </c>
      <c r="B1639" t="s">
        <v>149</v>
      </c>
      <c r="C1639">
        <v>29</v>
      </c>
      <c r="D1639" t="s">
        <v>122</v>
      </c>
      <c r="E1639">
        <v>116.49</v>
      </c>
    </row>
    <row r="1640" spans="1:5" ht="15" customHeight="1" x14ac:dyDescent="0.25">
      <c r="A1640">
        <v>767</v>
      </c>
      <c r="B1640" t="s">
        <v>149</v>
      </c>
      <c r="C1640">
        <v>70</v>
      </c>
      <c r="D1640" t="s">
        <v>123</v>
      </c>
      <c r="E1640">
        <v>82.01</v>
      </c>
    </row>
    <row r="1641" spans="1:5" ht="15" customHeight="1" x14ac:dyDescent="0.25">
      <c r="A1641">
        <v>767</v>
      </c>
      <c r="B1641" t="s">
        <v>149</v>
      </c>
      <c r="C1641">
        <v>71</v>
      </c>
      <c r="D1641" t="s">
        <v>124</v>
      </c>
      <c r="E1641">
        <v>121.9</v>
      </c>
    </row>
    <row r="1642" spans="1:5" ht="15" customHeight="1" x14ac:dyDescent="0.25">
      <c r="A1642">
        <v>767</v>
      </c>
      <c r="B1642" t="s">
        <v>149</v>
      </c>
      <c r="C1642">
        <v>384</v>
      </c>
      <c r="D1642" t="s">
        <v>125</v>
      </c>
      <c r="E1642">
        <v>5.47</v>
      </c>
    </row>
    <row r="1643" spans="1:5" ht="15" customHeight="1" x14ac:dyDescent="0.25">
      <c r="A1643">
        <v>767</v>
      </c>
      <c r="B1643" t="s">
        <v>149</v>
      </c>
      <c r="C1643">
        <v>429</v>
      </c>
      <c r="D1643" t="s">
        <v>126</v>
      </c>
      <c r="E1643">
        <v>65.91</v>
      </c>
    </row>
    <row r="1644" spans="1:5" ht="15" customHeight="1" x14ac:dyDescent="0.25">
      <c r="A1644">
        <v>767</v>
      </c>
      <c r="B1644" t="s">
        <v>149</v>
      </c>
      <c r="C1644">
        <v>486</v>
      </c>
      <c r="D1644" t="s">
        <v>127</v>
      </c>
      <c r="E1644">
        <v>71.12</v>
      </c>
    </row>
    <row r="1645" spans="1:5" ht="15" customHeight="1" x14ac:dyDescent="0.25">
      <c r="A1645">
        <v>767</v>
      </c>
      <c r="B1645" t="s">
        <v>149</v>
      </c>
      <c r="C1645">
        <v>546</v>
      </c>
      <c r="D1645" t="s">
        <v>128</v>
      </c>
      <c r="E1645">
        <v>78.56</v>
      </c>
    </row>
    <row r="1646" spans="1:5" ht="15" customHeight="1" x14ac:dyDescent="0.25">
      <c r="A1646">
        <v>767</v>
      </c>
      <c r="B1646" t="s">
        <v>149</v>
      </c>
      <c r="C1646">
        <v>599</v>
      </c>
      <c r="D1646" t="s">
        <v>129</v>
      </c>
      <c r="E1646">
        <v>11.25</v>
      </c>
    </row>
    <row r="1647" spans="1:5" ht="15" customHeight="1" x14ac:dyDescent="0.25">
      <c r="A1647">
        <v>767</v>
      </c>
      <c r="B1647" t="s">
        <v>149</v>
      </c>
      <c r="C1647">
        <v>620</v>
      </c>
      <c r="D1647" t="s">
        <v>130</v>
      </c>
      <c r="E1647">
        <v>35.200000000000003</v>
      </c>
    </row>
    <row r="1648" spans="1:5" ht="15" customHeight="1" x14ac:dyDescent="0.25">
      <c r="A1648">
        <v>767</v>
      </c>
      <c r="B1648" t="s">
        <v>149</v>
      </c>
      <c r="C1648">
        <v>626</v>
      </c>
      <c r="D1648" t="s">
        <v>131</v>
      </c>
      <c r="E1648">
        <v>9.42</v>
      </c>
    </row>
    <row r="1649" spans="1:5" ht="15" customHeight="1" x14ac:dyDescent="0.25">
      <c r="A1649">
        <v>767</v>
      </c>
      <c r="B1649" t="s">
        <v>149</v>
      </c>
      <c r="C1649">
        <v>627</v>
      </c>
      <c r="D1649" t="s">
        <v>132</v>
      </c>
      <c r="E1649">
        <v>2.9</v>
      </c>
    </row>
    <row r="1650" spans="1:5" ht="15" customHeight="1" x14ac:dyDescent="0.25">
      <c r="A1650">
        <v>767</v>
      </c>
      <c r="B1650" t="s">
        <v>149</v>
      </c>
      <c r="C1650">
        <v>651</v>
      </c>
      <c r="D1650" t="s">
        <v>133</v>
      </c>
      <c r="E1650">
        <v>3.91</v>
      </c>
    </row>
    <row r="1651" spans="1:5" ht="15" customHeight="1" x14ac:dyDescent="0.25">
      <c r="A1651">
        <v>767</v>
      </c>
      <c r="B1651" t="s">
        <v>149</v>
      </c>
      <c r="C1651">
        <v>668</v>
      </c>
      <c r="D1651" t="s">
        <v>134</v>
      </c>
      <c r="E1651">
        <v>9.48</v>
      </c>
    </row>
    <row r="1652" spans="1:5" ht="15" customHeight="1" x14ac:dyDescent="0.25">
      <c r="A1652">
        <v>767</v>
      </c>
      <c r="B1652" t="s">
        <v>149</v>
      </c>
      <c r="C1652">
        <v>681</v>
      </c>
      <c r="D1652" t="s">
        <v>135</v>
      </c>
      <c r="E1652">
        <v>5.53</v>
      </c>
    </row>
    <row r="1653" spans="1:5" ht="15" customHeight="1" x14ac:dyDescent="0.25">
      <c r="A1653">
        <v>767</v>
      </c>
      <c r="B1653" t="s">
        <v>149</v>
      </c>
      <c r="C1653">
        <v>682</v>
      </c>
      <c r="D1653" t="s">
        <v>136</v>
      </c>
      <c r="E1653">
        <v>6.26</v>
      </c>
    </row>
    <row r="1654" spans="1:5" ht="15" customHeight="1" x14ac:dyDescent="0.25">
      <c r="A1654">
        <v>767</v>
      </c>
      <c r="B1654" t="s">
        <v>149</v>
      </c>
      <c r="C1654">
        <v>683</v>
      </c>
      <c r="D1654" t="s">
        <v>137</v>
      </c>
      <c r="E1654">
        <v>5.79</v>
      </c>
    </row>
    <row r="1655" spans="1:5" ht="15" customHeight="1" x14ac:dyDescent="0.25">
      <c r="A1655">
        <v>767</v>
      </c>
      <c r="B1655" t="s">
        <v>149</v>
      </c>
      <c r="C1655">
        <v>684</v>
      </c>
      <c r="D1655" t="s">
        <v>138</v>
      </c>
      <c r="E1655">
        <v>7.35</v>
      </c>
    </row>
    <row r="1656" spans="1:5" ht="15" customHeight="1" x14ac:dyDescent="0.25">
      <c r="A1656">
        <v>767</v>
      </c>
      <c r="B1656" t="s">
        <v>149</v>
      </c>
      <c r="C1656">
        <v>685</v>
      </c>
      <c r="D1656" t="s">
        <v>139</v>
      </c>
      <c r="E1656">
        <v>6.24</v>
      </c>
    </row>
    <row r="1657" spans="1:5" ht="15" customHeight="1" x14ac:dyDescent="0.25">
      <c r="A1657">
        <v>767</v>
      </c>
      <c r="B1657" t="s">
        <v>149</v>
      </c>
      <c r="C1657">
        <v>691</v>
      </c>
      <c r="D1657" t="s">
        <v>140</v>
      </c>
      <c r="E1657">
        <v>6.02</v>
      </c>
    </row>
    <row r="1658" spans="1:5" ht="15" customHeight="1" x14ac:dyDescent="0.25">
      <c r="A1658">
        <v>767</v>
      </c>
      <c r="B1658" t="s">
        <v>149</v>
      </c>
      <c r="C1658">
        <v>706</v>
      </c>
      <c r="D1658" t="s">
        <v>141</v>
      </c>
      <c r="E1658">
        <v>4.29</v>
      </c>
    </row>
    <row r="1659" spans="1:5" ht="15" customHeight="1" x14ac:dyDescent="0.25">
      <c r="A1659">
        <v>767</v>
      </c>
      <c r="B1659" t="s">
        <v>149</v>
      </c>
      <c r="C1659">
        <v>713</v>
      </c>
      <c r="D1659" t="s">
        <v>142</v>
      </c>
      <c r="E1659">
        <v>7.87</v>
      </c>
    </row>
    <row r="1660" spans="1:5" ht="15" customHeight="1" x14ac:dyDescent="0.25">
      <c r="A1660">
        <v>767</v>
      </c>
      <c r="B1660" t="s">
        <v>149</v>
      </c>
      <c r="C1660">
        <v>718</v>
      </c>
      <c r="D1660" t="s">
        <v>143</v>
      </c>
      <c r="E1660">
        <v>4.83</v>
      </c>
    </row>
    <row r="1661" spans="1:5" ht="15" customHeight="1" x14ac:dyDescent="0.25">
      <c r="A1661">
        <v>767</v>
      </c>
      <c r="B1661" t="s">
        <v>149</v>
      </c>
      <c r="C1661">
        <v>731</v>
      </c>
      <c r="D1661" t="s">
        <v>144</v>
      </c>
      <c r="E1661">
        <v>36.659999999999997</v>
      </c>
    </row>
    <row r="1662" spans="1:5" ht="15" customHeight="1" x14ac:dyDescent="0.25">
      <c r="A1662">
        <v>767</v>
      </c>
      <c r="B1662" t="s">
        <v>149</v>
      </c>
      <c r="C1662">
        <v>743</v>
      </c>
      <c r="D1662" t="s">
        <v>145</v>
      </c>
      <c r="E1662">
        <v>17.53</v>
      </c>
    </row>
    <row r="1663" spans="1:5" ht="15" customHeight="1" x14ac:dyDescent="0.25">
      <c r="A1663">
        <v>767</v>
      </c>
      <c r="B1663" t="s">
        <v>149</v>
      </c>
      <c r="C1663">
        <v>760</v>
      </c>
      <c r="D1663" t="s">
        <v>146</v>
      </c>
      <c r="E1663">
        <v>6.38</v>
      </c>
    </row>
    <row r="1664" spans="1:5" ht="15" customHeight="1" x14ac:dyDescent="0.25">
      <c r="A1664">
        <v>767</v>
      </c>
      <c r="B1664" t="s">
        <v>149</v>
      </c>
      <c r="C1664">
        <v>765</v>
      </c>
      <c r="D1664" t="s">
        <v>147</v>
      </c>
      <c r="E1664">
        <v>10.39</v>
      </c>
    </row>
    <row r="1665" spans="1:5" ht="15" customHeight="1" x14ac:dyDescent="0.25">
      <c r="A1665">
        <v>767</v>
      </c>
      <c r="B1665" t="s">
        <v>149</v>
      </c>
      <c r="C1665">
        <v>766</v>
      </c>
      <c r="D1665" t="s">
        <v>148</v>
      </c>
      <c r="E1665">
        <v>5.26</v>
      </c>
    </row>
    <row r="1666" spans="1:5" ht="15" customHeight="1" x14ac:dyDescent="0.25">
      <c r="A1666">
        <v>767</v>
      </c>
      <c r="B1666" t="s">
        <v>149</v>
      </c>
      <c r="C1666">
        <v>767</v>
      </c>
      <c r="D1666" t="s">
        <v>149</v>
      </c>
      <c r="E1666">
        <v>0</v>
      </c>
    </row>
    <row r="1667" spans="1:5" ht="15" customHeight="1" x14ac:dyDescent="0.25">
      <c r="A1667">
        <v>767</v>
      </c>
      <c r="B1667" t="s">
        <v>149</v>
      </c>
      <c r="C1667">
        <v>795</v>
      </c>
      <c r="D1667" t="s">
        <v>150</v>
      </c>
      <c r="E1667">
        <v>6.52</v>
      </c>
    </row>
    <row r="1668" spans="1:5" ht="15" customHeight="1" x14ac:dyDescent="0.25">
      <c r="A1668">
        <v>767</v>
      </c>
      <c r="B1668" t="s">
        <v>149</v>
      </c>
      <c r="C1668">
        <v>798</v>
      </c>
      <c r="D1668" t="s">
        <v>151</v>
      </c>
      <c r="E1668">
        <v>7.22</v>
      </c>
    </row>
    <row r="1669" spans="1:5" ht="15" customHeight="1" x14ac:dyDescent="0.25">
      <c r="A1669">
        <v>767</v>
      </c>
      <c r="B1669" t="s">
        <v>149</v>
      </c>
      <c r="C1669">
        <v>799</v>
      </c>
      <c r="D1669" t="s">
        <v>152</v>
      </c>
      <c r="E1669">
        <v>9.36</v>
      </c>
    </row>
    <row r="1670" spans="1:5" ht="15" customHeight="1" x14ac:dyDescent="0.25">
      <c r="A1670">
        <v>767</v>
      </c>
      <c r="B1670" t="s">
        <v>149</v>
      </c>
      <c r="C1670">
        <v>811</v>
      </c>
      <c r="D1670" t="s">
        <v>153</v>
      </c>
      <c r="E1670">
        <v>7.82</v>
      </c>
    </row>
    <row r="1671" spans="1:5" ht="15" customHeight="1" x14ac:dyDescent="0.25">
      <c r="A1671">
        <v>767</v>
      </c>
      <c r="B1671" t="s">
        <v>149</v>
      </c>
      <c r="C1671">
        <v>820</v>
      </c>
      <c r="D1671" t="s">
        <v>154</v>
      </c>
      <c r="E1671">
        <v>6.98</v>
      </c>
    </row>
    <row r="1672" spans="1:5" ht="15" customHeight="1" x14ac:dyDescent="0.25">
      <c r="A1672">
        <v>767</v>
      </c>
      <c r="B1672" t="s">
        <v>149</v>
      </c>
      <c r="C1672">
        <v>830</v>
      </c>
      <c r="D1672" t="s">
        <v>155</v>
      </c>
      <c r="E1672">
        <v>6.74</v>
      </c>
    </row>
    <row r="1673" spans="1:5" ht="15" customHeight="1" x14ac:dyDescent="0.25">
      <c r="A1673">
        <v>767</v>
      </c>
      <c r="B1673" t="s">
        <v>149</v>
      </c>
      <c r="C1673">
        <v>831</v>
      </c>
      <c r="D1673" t="s">
        <v>156</v>
      </c>
      <c r="E1673">
        <v>13.59</v>
      </c>
    </row>
    <row r="1674" spans="1:5" ht="15" customHeight="1" x14ac:dyDescent="0.25">
      <c r="A1674">
        <v>767</v>
      </c>
      <c r="B1674" t="s">
        <v>149</v>
      </c>
      <c r="C1674">
        <v>832</v>
      </c>
      <c r="D1674" t="s">
        <v>157</v>
      </c>
      <c r="E1674">
        <v>7.38</v>
      </c>
    </row>
    <row r="1675" spans="1:5" ht="15" customHeight="1" x14ac:dyDescent="0.25">
      <c r="A1675">
        <v>767</v>
      </c>
      <c r="B1675" t="s">
        <v>149</v>
      </c>
      <c r="C1675">
        <v>833</v>
      </c>
      <c r="D1675" t="s">
        <v>158</v>
      </c>
      <c r="E1675">
        <v>7.57</v>
      </c>
    </row>
    <row r="1676" spans="1:5" ht="15" customHeight="1" x14ac:dyDescent="0.25">
      <c r="A1676">
        <v>767</v>
      </c>
      <c r="B1676" t="s">
        <v>149</v>
      </c>
      <c r="C1676">
        <v>840</v>
      </c>
      <c r="D1676" t="s">
        <v>159</v>
      </c>
      <c r="E1676">
        <v>9.25</v>
      </c>
    </row>
    <row r="1677" spans="1:5" ht="15" customHeight="1" x14ac:dyDescent="0.25">
      <c r="A1677">
        <v>767</v>
      </c>
      <c r="B1677" t="s">
        <v>149</v>
      </c>
      <c r="C1677">
        <v>841</v>
      </c>
      <c r="D1677" t="s">
        <v>160</v>
      </c>
      <c r="E1677">
        <v>5.21</v>
      </c>
    </row>
    <row r="1678" spans="1:5" ht="15" customHeight="1" x14ac:dyDescent="0.25">
      <c r="A1678">
        <v>767</v>
      </c>
      <c r="B1678" t="s">
        <v>149</v>
      </c>
      <c r="C1678">
        <v>842</v>
      </c>
      <c r="D1678" t="s">
        <v>161</v>
      </c>
      <c r="E1678">
        <v>8.5399999999999991</v>
      </c>
    </row>
    <row r="1679" spans="1:5" ht="15" customHeight="1" x14ac:dyDescent="0.25">
      <c r="A1679">
        <v>767</v>
      </c>
      <c r="B1679" t="s">
        <v>149</v>
      </c>
      <c r="C1679">
        <v>847</v>
      </c>
      <c r="D1679" t="s">
        <v>162</v>
      </c>
      <c r="E1679">
        <v>4.72</v>
      </c>
    </row>
    <row r="1680" spans="1:5" ht="15" customHeight="1" x14ac:dyDescent="0.25">
      <c r="A1680">
        <v>767</v>
      </c>
      <c r="B1680" t="s">
        <v>149</v>
      </c>
      <c r="C1680">
        <v>877</v>
      </c>
      <c r="D1680" t="s">
        <v>163</v>
      </c>
      <c r="E1680">
        <v>27.19</v>
      </c>
    </row>
    <row r="1681" spans="1:5" ht="15" customHeight="1" x14ac:dyDescent="0.25">
      <c r="A1681">
        <v>767</v>
      </c>
      <c r="B1681" t="s">
        <v>149</v>
      </c>
      <c r="C1681">
        <v>898</v>
      </c>
      <c r="D1681" t="s">
        <v>164</v>
      </c>
      <c r="E1681">
        <v>10.39</v>
      </c>
    </row>
    <row r="1682" spans="1:5" ht="15" customHeight="1" x14ac:dyDescent="0.25">
      <c r="A1682">
        <v>767</v>
      </c>
      <c r="B1682" t="s">
        <v>149</v>
      </c>
      <c r="C1682">
        <v>899</v>
      </c>
      <c r="D1682" t="s">
        <v>165</v>
      </c>
      <c r="E1682">
        <v>7.48</v>
      </c>
    </row>
    <row r="1683" spans="1:5" ht="15" customHeight="1" x14ac:dyDescent="0.25">
      <c r="A1683">
        <v>767</v>
      </c>
      <c r="B1683" t="s">
        <v>149</v>
      </c>
      <c r="C1683">
        <v>1912</v>
      </c>
      <c r="D1683" t="s">
        <v>166</v>
      </c>
      <c r="E1683">
        <v>32.17</v>
      </c>
    </row>
    <row r="1684" spans="1:5" ht="15" customHeight="1" x14ac:dyDescent="0.25">
      <c r="A1684">
        <v>767</v>
      </c>
      <c r="B1684" t="s">
        <v>149</v>
      </c>
      <c r="C1684">
        <v>9999</v>
      </c>
      <c r="D1684" t="s">
        <v>117</v>
      </c>
      <c r="E1684">
        <v>6.29</v>
      </c>
    </row>
    <row r="1685" spans="1:5" ht="15" customHeight="1" x14ac:dyDescent="0.25">
      <c r="A1685">
        <v>795</v>
      </c>
      <c r="B1685" t="s">
        <v>150</v>
      </c>
      <c r="C1685">
        <v>1</v>
      </c>
      <c r="D1685" t="s">
        <v>117</v>
      </c>
      <c r="E1685">
        <v>1.37</v>
      </c>
    </row>
    <row r="1686" spans="1:5" ht="15" customHeight="1" x14ac:dyDescent="0.25">
      <c r="A1686">
        <v>795</v>
      </c>
      <c r="B1686" t="s">
        <v>150</v>
      </c>
      <c r="C1686">
        <v>3</v>
      </c>
      <c r="D1686" t="s">
        <v>118</v>
      </c>
      <c r="E1686">
        <v>58.45</v>
      </c>
    </row>
    <row r="1687" spans="1:5" ht="15" customHeight="1" x14ac:dyDescent="0.25">
      <c r="A1687">
        <v>795</v>
      </c>
      <c r="B1687" t="s">
        <v>150</v>
      </c>
      <c r="C1687">
        <v>5</v>
      </c>
      <c r="D1687" t="s">
        <v>119</v>
      </c>
      <c r="E1687">
        <v>105.94</v>
      </c>
    </row>
    <row r="1688" spans="1:5" ht="15" customHeight="1" x14ac:dyDescent="0.25">
      <c r="A1688">
        <v>795</v>
      </c>
      <c r="B1688" t="s">
        <v>150</v>
      </c>
      <c r="C1688">
        <v>11</v>
      </c>
      <c r="D1688" t="s">
        <v>120</v>
      </c>
      <c r="E1688">
        <v>84.81</v>
      </c>
    </row>
    <row r="1689" spans="1:5" ht="15" customHeight="1" x14ac:dyDescent="0.25">
      <c r="A1689">
        <v>795</v>
      </c>
      <c r="B1689" t="s">
        <v>150</v>
      </c>
      <c r="C1689">
        <v>12</v>
      </c>
      <c r="D1689" t="s">
        <v>121</v>
      </c>
      <c r="E1689">
        <v>55.99</v>
      </c>
    </row>
    <row r="1690" spans="1:5" ht="15" customHeight="1" x14ac:dyDescent="0.25">
      <c r="A1690">
        <v>795</v>
      </c>
      <c r="B1690" t="s">
        <v>150</v>
      </c>
      <c r="C1690">
        <v>29</v>
      </c>
      <c r="D1690" t="s">
        <v>122</v>
      </c>
      <c r="E1690">
        <v>119.97</v>
      </c>
    </row>
    <row r="1691" spans="1:5" ht="15" customHeight="1" x14ac:dyDescent="0.25">
      <c r="A1691">
        <v>795</v>
      </c>
      <c r="B1691" t="s">
        <v>150</v>
      </c>
      <c r="C1691">
        <v>70</v>
      </c>
      <c r="D1691" t="s">
        <v>123</v>
      </c>
      <c r="E1691">
        <v>82.89</v>
      </c>
    </row>
    <row r="1692" spans="1:5" ht="15" customHeight="1" x14ac:dyDescent="0.25">
      <c r="A1692">
        <v>795</v>
      </c>
      <c r="B1692" t="s">
        <v>150</v>
      </c>
      <c r="C1692">
        <v>71</v>
      </c>
      <c r="D1692" t="s">
        <v>124</v>
      </c>
      <c r="E1692">
        <v>126.8</v>
      </c>
    </row>
    <row r="1693" spans="1:5" ht="15" customHeight="1" x14ac:dyDescent="0.25">
      <c r="A1693">
        <v>795</v>
      </c>
      <c r="B1693" t="s">
        <v>150</v>
      </c>
      <c r="C1693">
        <v>384</v>
      </c>
      <c r="D1693" t="s">
        <v>125</v>
      </c>
      <c r="E1693">
        <v>1.44</v>
      </c>
    </row>
    <row r="1694" spans="1:5" ht="15" customHeight="1" x14ac:dyDescent="0.25">
      <c r="A1694">
        <v>795</v>
      </c>
      <c r="B1694" t="s">
        <v>150</v>
      </c>
      <c r="C1694">
        <v>429</v>
      </c>
      <c r="D1694" t="s">
        <v>126</v>
      </c>
      <c r="E1694">
        <v>70.72</v>
      </c>
    </row>
    <row r="1695" spans="1:5" ht="15" customHeight="1" x14ac:dyDescent="0.25">
      <c r="A1695">
        <v>795</v>
      </c>
      <c r="B1695" t="s">
        <v>150</v>
      </c>
      <c r="C1695">
        <v>486</v>
      </c>
      <c r="D1695" t="s">
        <v>127</v>
      </c>
      <c r="E1695">
        <v>67.510000000000005</v>
      </c>
    </row>
    <row r="1696" spans="1:5" ht="15" customHeight="1" x14ac:dyDescent="0.25">
      <c r="A1696">
        <v>795</v>
      </c>
      <c r="B1696" t="s">
        <v>150</v>
      </c>
      <c r="C1696">
        <v>546</v>
      </c>
      <c r="D1696" t="s">
        <v>128</v>
      </c>
      <c r="E1696">
        <v>72.77</v>
      </c>
    </row>
    <row r="1697" spans="1:5" ht="15" customHeight="1" x14ac:dyDescent="0.25">
      <c r="A1697">
        <v>795</v>
      </c>
      <c r="B1697" t="s">
        <v>150</v>
      </c>
      <c r="C1697">
        <v>599</v>
      </c>
      <c r="D1697" t="s">
        <v>129</v>
      </c>
      <c r="E1697">
        <v>5.78</v>
      </c>
    </row>
    <row r="1698" spans="1:5" ht="15" customHeight="1" x14ac:dyDescent="0.25">
      <c r="A1698">
        <v>795</v>
      </c>
      <c r="B1698" t="s">
        <v>150</v>
      </c>
      <c r="C1698">
        <v>620</v>
      </c>
      <c r="D1698" t="s">
        <v>130</v>
      </c>
      <c r="E1698">
        <v>41.65</v>
      </c>
    </row>
    <row r="1699" spans="1:5" ht="15" customHeight="1" x14ac:dyDescent="0.25">
      <c r="A1699">
        <v>795</v>
      </c>
      <c r="B1699" t="s">
        <v>150</v>
      </c>
      <c r="C1699">
        <v>626</v>
      </c>
      <c r="D1699" t="s">
        <v>131</v>
      </c>
      <c r="E1699">
        <v>2.9</v>
      </c>
    </row>
    <row r="1700" spans="1:5" ht="15" customHeight="1" x14ac:dyDescent="0.25">
      <c r="A1700">
        <v>795</v>
      </c>
      <c r="B1700" t="s">
        <v>150</v>
      </c>
      <c r="C1700">
        <v>627</v>
      </c>
      <c r="D1700" t="s">
        <v>132</v>
      </c>
      <c r="E1700">
        <v>5.79</v>
      </c>
    </row>
    <row r="1701" spans="1:5" ht="15" customHeight="1" x14ac:dyDescent="0.25">
      <c r="A1701">
        <v>795</v>
      </c>
      <c r="B1701" t="s">
        <v>150</v>
      </c>
      <c r="C1701">
        <v>651</v>
      </c>
      <c r="D1701" t="s">
        <v>133</v>
      </c>
      <c r="E1701">
        <v>2.63</v>
      </c>
    </row>
    <row r="1702" spans="1:5" ht="15" customHeight="1" x14ac:dyDescent="0.25">
      <c r="A1702">
        <v>795</v>
      </c>
      <c r="B1702" t="s">
        <v>150</v>
      </c>
      <c r="C1702">
        <v>668</v>
      </c>
      <c r="D1702" t="s">
        <v>134</v>
      </c>
      <c r="E1702">
        <v>3.7</v>
      </c>
    </row>
    <row r="1703" spans="1:5" ht="15" customHeight="1" x14ac:dyDescent="0.25">
      <c r="A1703">
        <v>795</v>
      </c>
      <c r="B1703" t="s">
        <v>150</v>
      </c>
      <c r="C1703">
        <v>681</v>
      </c>
      <c r="D1703" t="s">
        <v>135</v>
      </c>
      <c r="E1703">
        <v>2.2200000000000002</v>
      </c>
    </row>
    <row r="1704" spans="1:5" ht="15" customHeight="1" x14ac:dyDescent="0.25">
      <c r="A1704">
        <v>795</v>
      </c>
      <c r="B1704" t="s">
        <v>150</v>
      </c>
      <c r="C1704">
        <v>682</v>
      </c>
      <c r="D1704" t="s">
        <v>136</v>
      </c>
      <c r="E1704">
        <v>2.0499999999999998</v>
      </c>
    </row>
    <row r="1705" spans="1:5" ht="15" customHeight="1" x14ac:dyDescent="0.25">
      <c r="A1705">
        <v>795</v>
      </c>
      <c r="B1705" t="s">
        <v>150</v>
      </c>
      <c r="C1705">
        <v>683</v>
      </c>
      <c r="D1705" t="s">
        <v>137</v>
      </c>
      <c r="E1705">
        <v>1.64</v>
      </c>
    </row>
    <row r="1706" spans="1:5" ht="15" customHeight="1" x14ac:dyDescent="0.25">
      <c r="A1706">
        <v>795</v>
      </c>
      <c r="B1706" t="s">
        <v>150</v>
      </c>
      <c r="C1706">
        <v>684</v>
      </c>
      <c r="D1706" t="s">
        <v>138</v>
      </c>
      <c r="E1706">
        <v>1.04</v>
      </c>
    </row>
    <row r="1707" spans="1:5" ht="15" customHeight="1" x14ac:dyDescent="0.25">
      <c r="A1707">
        <v>795</v>
      </c>
      <c r="B1707" t="s">
        <v>150</v>
      </c>
      <c r="C1707">
        <v>685</v>
      </c>
      <c r="D1707" t="s">
        <v>139</v>
      </c>
      <c r="E1707">
        <v>0.59</v>
      </c>
    </row>
    <row r="1708" spans="1:5" ht="15" customHeight="1" x14ac:dyDescent="0.25">
      <c r="A1708">
        <v>795</v>
      </c>
      <c r="B1708" t="s">
        <v>150</v>
      </c>
      <c r="C1708">
        <v>691</v>
      </c>
      <c r="D1708" t="s">
        <v>140</v>
      </c>
      <c r="E1708">
        <v>2.0099999999999998</v>
      </c>
    </row>
    <row r="1709" spans="1:5" ht="15" customHeight="1" x14ac:dyDescent="0.25">
      <c r="A1709">
        <v>795</v>
      </c>
      <c r="B1709" t="s">
        <v>150</v>
      </c>
      <c r="C1709">
        <v>706</v>
      </c>
      <c r="D1709" t="s">
        <v>141</v>
      </c>
      <c r="E1709">
        <v>2.34</v>
      </c>
    </row>
    <row r="1710" spans="1:5" ht="15" customHeight="1" x14ac:dyDescent="0.25">
      <c r="A1710">
        <v>795</v>
      </c>
      <c r="B1710" t="s">
        <v>150</v>
      </c>
      <c r="C1710">
        <v>713</v>
      </c>
      <c r="D1710" t="s">
        <v>142</v>
      </c>
      <c r="E1710">
        <v>2.59</v>
      </c>
    </row>
    <row r="1711" spans="1:5" ht="15" customHeight="1" x14ac:dyDescent="0.25">
      <c r="A1711">
        <v>795</v>
      </c>
      <c r="B1711" t="s">
        <v>150</v>
      </c>
      <c r="C1711">
        <v>718</v>
      </c>
      <c r="D1711" t="s">
        <v>143</v>
      </c>
      <c r="E1711">
        <v>4.1900000000000004</v>
      </c>
    </row>
    <row r="1712" spans="1:5" ht="15" customHeight="1" x14ac:dyDescent="0.25">
      <c r="A1712">
        <v>795</v>
      </c>
      <c r="B1712" t="s">
        <v>150</v>
      </c>
      <c r="C1712">
        <v>731</v>
      </c>
      <c r="D1712" t="s">
        <v>144</v>
      </c>
      <c r="E1712">
        <v>30.3</v>
      </c>
    </row>
    <row r="1713" spans="1:5" ht="15" customHeight="1" x14ac:dyDescent="0.25">
      <c r="A1713">
        <v>795</v>
      </c>
      <c r="B1713" t="s">
        <v>150</v>
      </c>
      <c r="C1713">
        <v>743</v>
      </c>
      <c r="D1713" t="s">
        <v>145</v>
      </c>
      <c r="E1713">
        <v>13.44</v>
      </c>
    </row>
    <row r="1714" spans="1:5" ht="15" customHeight="1" x14ac:dyDescent="0.25">
      <c r="A1714">
        <v>795</v>
      </c>
      <c r="B1714" t="s">
        <v>150</v>
      </c>
      <c r="C1714">
        <v>760</v>
      </c>
      <c r="D1714" t="s">
        <v>146</v>
      </c>
      <c r="E1714">
        <v>1.17</v>
      </c>
    </row>
    <row r="1715" spans="1:5" ht="15" customHeight="1" x14ac:dyDescent="0.25">
      <c r="A1715">
        <v>795</v>
      </c>
      <c r="B1715" t="s">
        <v>150</v>
      </c>
      <c r="C1715">
        <v>765</v>
      </c>
      <c r="D1715" t="s">
        <v>147</v>
      </c>
      <c r="E1715">
        <v>3.88</v>
      </c>
    </row>
    <row r="1716" spans="1:5" ht="15" customHeight="1" x14ac:dyDescent="0.25">
      <c r="A1716">
        <v>795</v>
      </c>
      <c r="B1716" t="s">
        <v>150</v>
      </c>
      <c r="C1716">
        <v>766</v>
      </c>
      <c r="D1716" t="s">
        <v>148</v>
      </c>
      <c r="E1716">
        <v>2.96</v>
      </c>
    </row>
    <row r="1717" spans="1:5" ht="15" customHeight="1" x14ac:dyDescent="0.25">
      <c r="A1717">
        <v>795</v>
      </c>
      <c r="B1717" t="s">
        <v>150</v>
      </c>
      <c r="C1717">
        <v>767</v>
      </c>
      <c r="D1717" t="s">
        <v>149</v>
      </c>
      <c r="E1717">
        <v>6.52</v>
      </c>
    </row>
    <row r="1718" spans="1:5" ht="15" customHeight="1" x14ac:dyDescent="0.25">
      <c r="A1718">
        <v>795</v>
      </c>
      <c r="B1718" t="s">
        <v>150</v>
      </c>
      <c r="C1718">
        <v>795</v>
      </c>
      <c r="D1718" t="s">
        <v>150</v>
      </c>
      <c r="E1718">
        <v>0</v>
      </c>
    </row>
    <row r="1719" spans="1:5" ht="15" customHeight="1" x14ac:dyDescent="0.25">
      <c r="A1719">
        <v>795</v>
      </c>
      <c r="B1719" t="s">
        <v>150</v>
      </c>
      <c r="C1719">
        <v>798</v>
      </c>
      <c r="D1719" t="s">
        <v>151</v>
      </c>
      <c r="E1719">
        <v>3.21</v>
      </c>
    </row>
    <row r="1720" spans="1:5" ht="15" customHeight="1" x14ac:dyDescent="0.25">
      <c r="A1720">
        <v>795</v>
      </c>
      <c r="B1720" t="s">
        <v>150</v>
      </c>
      <c r="C1720">
        <v>799</v>
      </c>
      <c r="D1720" t="s">
        <v>152</v>
      </c>
      <c r="E1720">
        <v>2.96</v>
      </c>
    </row>
    <row r="1721" spans="1:5" ht="15" customHeight="1" x14ac:dyDescent="0.25">
      <c r="A1721">
        <v>795</v>
      </c>
      <c r="B1721" t="s">
        <v>150</v>
      </c>
      <c r="C1721">
        <v>811</v>
      </c>
      <c r="D1721" t="s">
        <v>153</v>
      </c>
      <c r="E1721">
        <v>7.11</v>
      </c>
    </row>
    <row r="1722" spans="1:5" ht="15" customHeight="1" x14ac:dyDescent="0.25">
      <c r="A1722">
        <v>795</v>
      </c>
      <c r="B1722" t="s">
        <v>150</v>
      </c>
      <c r="C1722">
        <v>820</v>
      </c>
      <c r="D1722" t="s">
        <v>154</v>
      </c>
      <c r="E1722">
        <v>2</v>
      </c>
    </row>
    <row r="1723" spans="1:5" ht="15" customHeight="1" x14ac:dyDescent="0.25">
      <c r="A1723">
        <v>795</v>
      </c>
      <c r="B1723" t="s">
        <v>150</v>
      </c>
      <c r="C1723">
        <v>830</v>
      </c>
      <c r="D1723" t="s">
        <v>155</v>
      </c>
      <c r="E1723">
        <v>2.35</v>
      </c>
    </row>
    <row r="1724" spans="1:5" ht="15" customHeight="1" x14ac:dyDescent="0.25">
      <c r="A1724">
        <v>795</v>
      </c>
      <c r="B1724" t="s">
        <v>150</v>
      </c>
      <c r="C1724">
        <v>831</v>
      </c>
      <c r="D1724" t="s">
        <v>156</v>
      </c>
      <c r="E1724">
        <v>7.79</v>
      </c>
    </row>
    <row r="1725" spans="1:5" ht="15" customHeight="1" x14ac:dyDescent="0.25">
      <c r="A1725">
        <v>795</v>
      </c>
      <c r="B1725" t="s">
        <v>150</v>
      </c>
      <c r="C1725">
        <v>832</v>
      </c>
      <c r="D1725" t="s">
        <v>157</v>
      </c>
      <c r="E1725">
        <v>2.19</v>
      </c>
    </row>
    <row r="1726" spans="1:5" ht="15" customHeight="1" x14ac:dyDescent="0.25">
      <c r="A1726">
        <v>795</v>
      </c>
      <c r="B1726" t="s">
        <v>150</v>
      </c>
      <c r="C1726">
        <v>833</v>
      </c>
      <c r="D1726" t="s">
        <v>158</v>
      </c>
      <c r="E1726">
        <v>1.06</v>
      </c>
    </row>
    <row r="1727" spans="1:5" ht="15" customHeight="1" x14ac:dyDescent="0.25">
      <c r="A1727">
        <v>795</v>
      </c>
      <c r="B1727" t="s">
        <v>150</v>
      </c>
      <c r="C1727">
        <v>840</v>
      </c>
      <c r="D1727" t="s">
        <v>159</v>
      </c>
      <c r="E1727">
        <v>4.32</v>
      </c>
    </row>
    <row r="1728" spans="1:5" ht="15" customHeight="1" x14ac:dyDescent="0.25">
      <c r="A1728">
        <v>795</v>
      </c>
      <c r="B1728" t="s">
        <v>150</v>
      </c>
      <c r="C1728">
        <v>841</v>
      </c>
      <c r="D1728" t="s">
        <v>160</v>
      </c>
      <c r="E1728">
        <v>1.38</v>
      </c>
    </row>
    <row r="1729" spans="1:5" ht="15" customHeight="1" x14ac:dyDescent="0.25">
      <c r="A1729">
        <v>795</v>
      </c>
      <c r="B1729" t="s">
        <v>150</v>
      </c>
      <c r="C1729">
        <v>842</v>
      </c>
      <c r="D1729" t="s">
        <v>161</v>
      </c>
      <c r="E1729">
        <v>4.6399999999999997</v>
      </c>
    </row>
    <row r="1730" spans="1:5" ht="15" customHeight="1" x14ac:dyDescent="0.25">
      <c r="A1730">
        <v>795</v>
      </c>
      <c r="B1730" t="s">
        <v>150</v>
      </c>
      <c r="C1730">
        <v>847</v>
      </c>
      <c r="D1730" t="s">
        <v>162</v>
      </c>
      <c r="E1730">
        <v>1.82</v>
      </c>
    </row>
    <row r="1731" spans="1:5" ht="15" customHeight="1" x14ac:dyDescent="0.25">
      <c r="A1731">
        <v>795</v>
      </c>
      <c r="B1731" t="s">
        <v>150</v>
      </c>
      <c r="C1731">
        <v>877</v>
      </c>
      <c r="D1731" t="s">
        <v>163</v>
      </c>
      <c r="E1731">
        <v>20.79</v>
      </c>
    </row>
    <row r="1732" spans="1:5" ht="15" customHeight="1" x14ac:dyDescent="0.25">
      <c r="A1732">
        <v>795</v>
      </c>
      <c r="B1732" t="s">
        <v>150</v>
      </c>
      <c r="C1732">
        <v>898</v>
      </c>
      <c r="D1732" t="s">
        <v>164</v>
      </c>
      <c r="E1732">
        <v>4.2300000000000004</v>
      </c>
    </row>
    <row r="1733" spans="1:5" ht="15" customHeight="1" x14ac:dyDescent="0.25">
      <c r="A1733">
        <v>795</v>
      </c>
      <c r="B1733" t="s">
        <v>150</v>
      </c>
      <c r="C1733">
        <v>899</v>
      </c>
      <c r="D1733" t="s">
        <v>165</v>
      </c>
      <c r="E1733">
        <v>5.58</v>
      </c>
    </row>
    <row r="1734" spans="1:5" ht="15" customHeight="1" x14ac:dyDescent="0.25">
      <c r="A1734">
        <v>795</v>
      </c>
      <c r="B1734" t="s">
        <v>150</v>
      </c>
      <c r="C1734">
        <v>1912</v>
      </c>
      <c r="D1734" t="s">
        <v>166</v>
      </c>
      <c r="E1734">
        <v>25.97</v>
      </c>
    </row>
    <row r="1735" spans="1:5" ht="15" customHeight="1" x14ac:dyDescent="0.25">
      <c r="A1735">
        <v>795</v>
      </c>
      <c r="B1735" t="s">
        <v>150</v>
      </c>
      <c r="C1735">
        <v>9999</v>
      </c>
      <c r="D1735" t="s">
        <v>117</v>
      </c>
      <c r="E1735">
        <v>1.37</v>
      </c>
    </row>
    <row r="1736" spans="1:5" ht="15" customHeight="1" x14ac:dyDescent="0.25">
      <c r="A1736">
        <v>798</v>
      </c>
      <c r="B1736" t="s">
        <v>151</v>
      </c>
      <c r="C1736">
        <v>1</v>
      </c>
      <c r="D1736" t="s">
        <v>117</v>
      </c>
      <c r="E1736">
        <v>4.54</v>
      </c>
    </row>
    <row r="1737" spans="1:5" ht="15" customHeight="1" x14ac:dyDescent="0.25">
      <c r="A1737">
        <v>798</v>
      </c>
      <c r="B1737" t="s">
        <v>151</v>
      </c>
      <c r="C1737">
        <v>3</v>
      </c>
      <c r="D1737" t="s">
        <v>118</v>
      </c>
      <c r="E1737">
        <v>59.41</v>
      </c>
    </row>
    <row r="1738" spans="1:5" ht="15" customHeight="1" x14ac:dyDescent="0.25">
      <c r="A1738">
        <v>798</v>
      </c>
      <c r="B1738" t="s">
        <v>151</v>
      </c>
      <c r="C1738">
        <v>5</v>
      </c>
      <c r="D1738" t="s">
        <v>119</v>
      </c>
      <c r="E1738">
        <v>107.08</v>
      </c>
    </row>
    <row r="1739" spans="1:5" ht="15" customHeight="1" x14ac:dyDescent="0.25">
      <c r="A1739">
        <v>798</v>
      </c>
      <c r="B1739" t="s">
        <v>151</v>
      </c>
      <c r="C1739">
        <v>11</v>
      </c>
      <c r="D1739" t="s">
        <v>120</v>
      </c>
      <c r="E1739">
        <v>84.05</v>
      </c>
    </row>
    <row r="1740" spans="1:5" ht="15" customHeight="1" x14ac:dyDescent="0.25">
      <c r="A1740">
        <v>798</v>
      </c>
      <c r="B1740" t="s">
        <v>151</v>
      </c>
      <c r="C1740">
        <v>12</v>
      </c>
      <c r="D1740" t="s">
        <v>121</v>
      </c>
      <c r="E1740">
        <v>59.07</v>
      </c>
    </row>
    <row r="1741" spans="1:5" ht="15" customHeight="1" x14ac:dyDescent="0.25">
      <c r="A1741">
        <v>798</v>
      </c>
      <c r="B1741" t="s">
        <v>151</v>
      </c>
      <c r="C1741">
        <v>29</v>
      </c>
      <c r="D1741" t="s">
        <v>122</v>
      </c>
      <c r="E1741">
        <v>117.28</v>
      </c>
    </row>
    <row r="1742" spans="1:5" ht="15" customHeight="1" x14ac:dyDescent="0.25">
      <c r="A1742">
        <v>798</v>
      </c>
      <c r="B1742" t="s">
        <v>151</v>
      </c>
      <c r="C1742">
        <v>70</v>
      </c>
      <c r="D1742" t="s">
        <v>123</v>
      </c>
      <c r="E1742">
        <v>86.05</v>
      </c>
    </row>
    <row r="1743" spans="1:5" ht="15" customHeight="1" x14ac:dyDescent="0.25">
      <c r="A1743">
        <v>798</v>
      </c>
      <c r="B1743" t="s">
        <v>151</v>
      </c>
      <c r="C1743">
        <v>71</v>
      </c>
      <c r="D1743" t="s">
        <v>124</v>
      </c>
      <c r="E1743">
        <v>128.87</v>
      </c>
    </row>
    <row r="1744" spans="1:5" ht="15" customHeight="1" x14ac:dyDescent="0.25">
      <c r="A1744">
        <v>798</v>
      </c>
      <c r="B1744" t="s">
        <v>151</v>
      </c>
      <c r="C1744">
        <v>384</v>
      </c>
      <c r="D1744" t="s">
        <v>125</v>
      </c>
      <c r="E1744">
        <v>4.24</v>
      </c>
    </row>
    <row r="1745" spans="1:5" ht="15" customHeight="1" x14ac:dyDescent="0.25">
      <c r="A1745">
        <v>798</v>
      </c>
      <c r="B1745" t="s">
        <v>151</v>
      </c>
      <c r="C1745">
        <v>429</v>
      </c>
      <c r="D1745" t="s">
        <v>126</v>
      </c>
      <c r="E1745">
        <v>72.819999999999993</v>
      </c>
    </row>
    <row r="1746" spans="1:5" ht="15" customHeight="1" x14ac:dyDescent="0.25">
      <c r="A1746">
        <v>798</v>
      </c>
      <c r="B1746" t="s">
        <v>151</v>
      </c>
      <c r="C1746">
        <v>486</v>
      </c>
      <c r="D1746" t="s">
        <v>127</v>
      </c>
      <c r="E1746">
        <v>70.290000000000006</v>
      </c>
    </row>
    <row r="1747" spans="1:5" ht="15" customHeight="1" x14ac:dyDescent="0.25">
      <c r="A1747">
        <v>798</v>
      </c>
      <c r="B1747" t="s">
        <v>151</v>
      </c>
      <c r="C1747">
        <v>546</v>
      </c>
      <c r="D1747" t="s">
        <v>128</v>
      </c>
      <c r="E1747">
        <v>74.39</v>
      </c>
    </row>
    <row r="1748" spans="1:5" ht="15" customHeight="1" x14ac:dyDescent="0.25">
      <c r="A1748">
        <v>798</v>
      </c>
      <c r="B1748" t="s">
        <v>151</v>
      </c>
      <c r="C1748">
        <v>599</v>
      </c>
      <c r="D1748" t="s">
        <v>129</v>
      </c>
      <c r="E1748">
        <v>8.4600000000000009</v>
      </c>
    </row>
    <row r="1749" spans="1:5" ht="15" customHeight="1" x14ac:dyDescent="0.25">
      <c r="A1749">
        <v>798</v>
      </c>
      <c r="B1749" t="s">
        <v>151</v>
      </c>
      <c r="C1749">
        <v>620</v>
      </c>
      <c r="D1749" t="s">
        <v>130</v>
      </c>
      <c r="E1749">
        <v>41.33</v>
      </c>
    </row>
    <row r="1750" spans="1:5" ht="15" customHeight="1" x14ac:dyDescent="0.25">
      <c r="A1750">
        <v>798</v>
      </c>
      <c r="B1750" t="s">
        <v>151</v>
      </c>
      <c r="C1750">
        <v>626</v>
      </c>
      <c r="D1750" t="s">
        <v>131</v>
      </c>
      <c r="E1750">
        <v>4.43</v>
      </c>
    </row>
    <row r="1751" spans="1:5" ht="15" customHeight="1" x14ac:dyDescent="0.25">
      <c r="A1751">
        <v>798</v>
      </c>
      <c r="B1751" t="s">
        <v>151</v>
      </c>
      <c r="C1751">
        <v>627</v>
      </c>
      <c r="D1751" t="s">
        <v>132</v>
      </c>
      <c r="E1751">
        <v>7.74</v>
      </c>
    </row>
    <row r="1752" spans="1:5" ht="15" customHeight="1" x14ac:dyDescent="0.25">
      <c r="A1752">
        <v>798</v>
      </c>
      <c r="B1752" t="s">
        <v>151</v>
      </c>
      <c r="C1752">
        <v>651</v>
      </c>
      <c r="D1752" t="s">
        <v>133</v>
      </c>
      <c r="E1752">
        <v>4.32</v>
      </c>
    </row>
    <row r="1753" spans="1:5" ht="15" customHeight="1" x14ac:dyDescent="0.25">
      <c r="A1753">
        <v>798</v>
      </c>
      <c r="B1753" t="s">
        <v>151</v>
      </c>
      <c r="C1753">
        <v>668</v>
      </c>
      <c r="D1753" t="s">
        <v>134</v>
      </c>
      <c r="E1753">
        <v>6.43</v>
      </c>
    </row>
    <row r="1754" spans="1:5" ht="15" customHeight="1" x14ac:dyDescent="0.25">
      <c r="A1754">
        <v>798</v>
      </c>
      <c r="B1754" t="s">
        <v>151</v>
      </c>
      <c r="C1754">
        <v>681</v>
      </c>
      <c r="D1754" t="s">
        <v>135</v>
      </c>
      <c r="E1754">
        <v>1.87</v>
      </c>
    </row>
    <row r="1755" spans="1:5" ht="15" customHeight="1" x14ac:dyDescent="0.25">
      <c r="A1755">
        <v>798</v>
      </c>
      <c r="B1755" t="s">
        <v>151</v>
      </c>
      <c r="C1755">
        <v>682</v>
      </c>
      <c r="D1755" t="s">
        <v>136</v>
      </c>
      <c r="E1755">
        <v>5.2</v>
      </c>
    </row>
    <row r="1756" spans="1:5" ht="15" customHeight="1" x14ac:dyDescent="0.25">
      <c r="A1756">
        <v>798</v>
      </c>
      <c r="B1756" t="s">
        <v>151</v>
      </c>
      <c r="C1756">
        <v>683</v>
      </c>
      <c r="D1756" t="s">
        <v>137</v>
      </c>
      <c r="E1756">
        <v>4.67</v>
      </c>
    </row>
    <row r="1757" spans="1:5" ht="15" customHeight="1" x14ac:dyDescent="0.25">
      <c r="A1757">
        <v>798</v>
      </c>
      <c r="B1757" t="s">
        <v>151</v>
      </c>
      <c r="C1757">
        <v>684</v>
      </c>
      <c r="D1757" t="s">
        <v>138</v>
      </c>
      <c r="E1757">
        <v>3.97</v>
      </c>
    </row>
    <row r="1758" spans="1:5" ht="15" customHeight="1" x14ac:dyDescent="0.25">
      <c r="A1758">
        <v>798</v>
      </c>
      <c r="B1758" t="s">
        <v>151</v>
      </c>
      <c r="C1758">
        <v>685</v>
      </c>
      <c r="D1758" t="s">
        <v>139</v>
      </c>
      <c r="E1758">
        <v>2.71</v>
      </c>
    </row>
    <row r="1759" spans="1:5" ht="15" customHeight="1" x14ac:dyDescent="0.25">
      <c r="A1759">
        <v>798</v>
      </c>
      <c r="B1759" t="s">
        <v>151</v>
      </c>
      <c r="C1759">
        <v>691</v>
      </c>
      <c r="D1759" t="s">
        <v>140</v>
      </c>
      <c r="E1759">
        <v>1.55</v>
      </c>
    </row>
    <row r="1760" spans="1:5" ht="15" customHeight="1" x14ac:dyDescent="0.25">
      <c r="A1760">
        <v>798</v>
      </c>
      <c r="B1760" t="s">
        <v>151</v>
      </c>
      <c r="C1760">
        <v>706</v>
      </c>
      <c r="D1760" t="s">
        <v>141</v>
      </c>
      <c r="E1760">
        <v>4.3899999999999997</v>
      </c>
    </row>
    <row r="1761" spans="1:5" ht="15" customHeight="1" x14ac:dyDescent="0.25">
      <c r="A1761">
        <v>798</v>
      </c>
      <c r="B1761" t="s">
        <v>151</v>
      </c>
      <c r="C1761">
        <v>713</v>
      </c>
      <c r="D1761" t="s">
        <v>142</v>
      </c>
      <c r="E1761">
        <v>5.7</v>
      </c>
    </row>
    <row r="1762" spans="1:5" ht="15" customHeight="1" x14ac:dyDescent="0.25">
      <c r="A1762">
        <v>798</v>
      </c>
      <c r="B1762" t="s">
        <v>151</v>
      </c>
      <c r="C1762">
        <v>718</v>
      </c>
      <c r="D1762" t="s">
        <v>143</v>
      </c>
      <c r="E1762">
        <v>6.89</v>
      </c>
    </row>
    <row r="1763" spans="1:5" ht="15" customHeight="1" x14ac:dyDescent="0.25">
      <c r="A1763">
        <v>798</v>
      </c>
      <c r="B1763" t="s">
        <v>151</v>
      </c>
      <c r="C1763">
        <v>731</v>
      </c>
      <c r="D1763" t="s">
        <v>144</v>
      </c>
      <c r="E1763">
        <v>31.26</v>
      </c>
    </row>
    <row r="1764" spans="1:5" ht="15" customHeight="1" x14ac:dyDescent="0.25">
      <c r="A1764">
        <v>798</v>
      </c>
      <c r="B1764" t="s">
        <v>151</v>
      </c>
      <c r="C1764">
        <v>743</v>
      </c>
      <c r="D1764" t="s">
        <v>145</v>
      </c>
      <c r="E1764">
        <v>10.77</v>
      </c>
    </row>
    <row r="1765" spans="1:5" ht="15" customHeight="1" x14ac:dyDescent="0.25">
      <c r="A1765">
        <v>798</v>
      </c>
      <c r="B1765" t="s">
        <v>151</v>
      </c>
      <c r="C1765">
        <v>760</v>
      </c>
      <c r="D1765" t="s">
        <v>146</v>
      </c>
      <c r="E1765">
        <v>2.0699999999999998</v>
      </c>
    </row>
    <row r="1766" spans="1:5" ht="15" customHeight="1" x14ac:dyDescent="0.25">
      <c r="A1766">
        <v>798</v>
      </c>
      <c r="B1766" t="s">
        <v>151</v>
      </c>
      <c r="C1766">
        <v>765</v>
      </c>
      <c r="D1766" t="s">
        <v>147</v>
      </c>
      <c r="E1766">
        <v>5.18</v>
      </c>
    </row>
    <row r="1767" spans="1:5" ht="15" customHeight="1" x14ac:dyDescent="0.25">
      <c r="A1767">
        <v>798</v>
      </c>
      <c r="B1767" t="s">
        <v>151</v>
      </c>
      <c r="C1767">
        <v>766</v>
      </c>
      <c r="D1767" t="s">
        <v>148</v>
      </c>
      <c r="E1767">
        <v>5.83</v>
      </c>
    </row>
    <row r="1768" spans="1:5" ht="15" customHeight="1" x14ac:dyDescent="0.25">
      <c r="A1768">
        <v>798</v>
      </c>
      <c r="B1768" t="s">
        <v>151</v>
      </c>
      <c r="C1768">
        <v>767</v>
      </c>
      <c r="D1768" t="s">
        <v>149</v>
      </c>
      <c r="E1768">
        <v>7.22</v>
      </c>
    </row>
    <row r="1769" spans="1:5" ht="15" customHeight="1" x14ac:dyDescent="0.25">
      <c r="A1769">
        <v>798</v>
      </c>
      <c r="B1769" t="s">
        <v>151</v>
      </c>
      <c r="C1769">
        <v>795</v>
      </c>
      <c r="D1769" t="s">
        <v>150</v>
      </c>
      <c r="E1769">
        <v>3.21</v>
      </c>
    </row>
    <row r="1770" spans="1:5" ht="15" customHeight="1" x14ac:dyDescent="0.25">
      <c r="A1770">
        <v>798</v>
      </c>
      <c r="B1770" t="s">
        <v>151</v>
      </c>
      <c r="C1770">
        <v>798</v>
      </c>
      <c r="D1770" t="s">
        <v>151</v>
      </c>
      <c r="E1770">
        <v>0</v>
      </c>
    </row>
    <row r="1771" spans="1:5" ht="15" customHeight="1" x14ac:dyDescent="0.25">
      <c r="A1771">
        <v>798</v>
      </c>
      <c r="B1771" t="s">
        <v>151</v>
      </c>
      <c r="C1771">
        <v>799</v>
      </c>
      <c r="D1771" t="s">
        <v>152</v>
      </c>
      <c r="E1771">
        <v>5.0599999999999996</v>
      </c>
    </row>
    <row r="1772" spans="1:5" ht="15" customHeight="1" x14ac:dyDescent="0.25">
      <c r="A1772">
        <v>798</v>
      </c>
      <c r="B1772" t="s">
        <v>151</v>
      </c>
      <c r="C1772">
        <v>811</v>
      </c>
      <c r="D1772" t="s">
        <v>153</v>
      </c>
      <c r="E1772">
        <v>10.17</v>
      </c>
    </row>
    <row r="1773" spans="1:5" ht="15" customHeight="1" x14ac:dyDescent="0.25">
      <c r="A1773">
        <v>798</v>
      </c>
      <c r="B1773" t="s">
        <v>151</v>
      </c>
      <c r="C1773">
        <v>820</v>
      </c>
      <c r="D1773" t="s">
        <v>154</v>
      </c>
      <c r="E1773">
        <v>1.24</v>
      </c>
    </row>
    <row r="1774" spans="1:5" ht="15" customHeight="1" x14ac:dyDescent="0.25">
      <c r="A1774">
        <v>798</v>
      </c>
      <c r="B1774" t="s">
        <v>151</v>
      </c>
      <c r="C1774">
        <v>830</v>
      </c>
      <c r="D1774" t="s">
        <v>155</v>
      </c>
      <c r="E1774">
        <v>0.88</v>
      </c>
    </row>
    <row r="1775" spans="1:5" ht="15" customHeight="1" x14ac:dyDescent="0.25">
      <c r="A1775">
        <v>798</v>
      </c>
      <c r="B1775" t="s">
        <v>151</v>
      </c>
      <c r="C1775">
        <v>831</v>
      </c>
      <c r="D1775" t="s">
        <v>156</v>
      </c>
      <c r="E1775">
        <v>10.08</v>
      </c>
    </row>
    <row r="1776" spans="1:5" ht="15" customHeight="1" x14ac:dyDescent="0.25">
      <c r="A1776">
        <v>798</v>
      </c>
      <c r="B1776" t="s">
        <v>151</v>
      </c>
      <c r="C1776">
        <v>832</v>
      </c>
      <c r="D1776" t="s">
        <v>157</v>
      </c>
      <c r="E1776">
        <v>1.25</v>
      </c>
    </row>
    <row r="1777" spans="1:5" ht="15" customHeight="1" x14ac:dyDescent="0.25">
      <c r="A1777">
        <v>798</v>
      </c>
      <c r="B1777" t="s">
        <v>151</v>
      </c>
      <c r="C1777">
        <v>833</v>
      </c>
      <c r="D1777" t="s">
        <v>158</v>
      </c>
      <c r="E1777">
        <v>3.31</v>
      </c>
    </row>
    <row r="1778" spans="1:5" ht="15" customHeight="1" x14ac:dyDescent="0.25">
      <c r="A1778">
        <v>798</v>
      </c>
      <c r="B1778" t="s">
        <v>151</v>
      </c>
      <c r="C1778">
        <v>840</v>
      </c>
      <c r="D1778" t="s">
        <v>159</v>
      </c>
      <c r="E1778">
        <v>2.04</v>
      </c>
    </row>
    <row r="1779" spans="1:5" ht="15" customHeight="1" x14ac:dyDescent="0.25">
      <c r="A1779">
        <v>798</v>
      </c>
      <c r="B1779" t="s">
        <v>151</v>
      </c>
      <c r="C1779">
        <v>841</v>
      </c>
      <c r="D1779" t="s">
        <v>160</v>
      </c>
      <c r="E1779">
        <v>3.09</v>
      </c>
    </row>
    <row r="1780" spans="1:5" ht="15" customHeight="1" x14ac:dyDescent="0.25">
      <c r="A1780">
        <v>798</v>
      </c>
      <c r="B1780" t="s">
        <v>151</v>
      </c>
      <c r="C1780">
        <v>842</v>
      </c>
      <c r="D1780" t="s">
        <v>161</v>
      </c>
      <c r="E1780">
        <v>7.84</v>
      </c>
    </row>
    <row r="1781" spans="1:5" ht="15" customHeight="1" x14ac:dyDescent="0.25">
      <c r="A1781">
        <v>798</v>
      </c>
      <c r="B1781" t="s">
        <v>151</v>
      </c>
      <c r="C1781">
        <v>847</v>
      </c>
      <c r="D1781" t="s">
        <v>162</v>
      </c>
      <c r="E1781">
        <v>3.45</v>
      </c>
    </row>
    <row r="1782" spans="1:5" ht="15" customHeight="1" x14ac:dyDescent="0.25">
      <c r="A1782">
        <v>798</v>
      </c>
      <c r="B1782" t="s">
        <v>151</v>
      </c>
      <c r="C1782">
        <v>877</v>
      </c>
      <c r="D1782" t="s">
        <v>163</v>
      </c>
      <c r="E1782">
        <v>21.77</v>
      </c>
    </row>
    <row r="1783" spans="1:5" ht="15" customHeight="1" x14ac:dyDescent="0.25">
      <c r="A1783">
        <v>798</v>
      </c>
      <c r="B1783" t="s">
        <v>151</v>
      </c>
      <c r="C1783">
        <v>898</v>
      </c>
      <c r="D1783" t="s">
        <v>164</v>
      </c>
      <c r="E1783">
        <v>6.49</v>
      </c>
    </row>
    <row r="1784" spans="1:5" ht="15" customHeight="1" x14ac:dyDescent="0.25">
      <c r="A1784">
        <v>798</v>
      </c>
      <c r="B1784" t="s">
        <v>151</v>
      </c>
      <c r="C1784">
        <v>899</v>
      </c>
      <c r="D1784" t="s">
        <v>165</v>
      </c>
      <c r="E1784">
        <v>8.7200000000000006</v>
      </c>
    </row>
    <row r="1785" spans="1:5" ht="15" customHeight="1" x14ac:dyDescent="0.25">
      <c r="A1785">
        <v>798</v>
      </c>
      <c r="B1785" t="s">
        <v>151</v>
      </c>
      <c r="C1785">
        <v>1912</v>
      </c>
      <c r="D1785" t="s">
        <v>166</v>
      </c>
      <c r="E1785">
        <v>27.28</v>
      </c>
    </row>
    <row r="1786" spans="1:5" ht="15" customHeight="1" x14ac:dyDescent="0.25">
      <c r="A1786">
        <v>798</v>
      </c>
      <c r="B1786" t="s">
        <v>151</v>
      </c>
      <c r="C1786">
        <v>9999</v>
      </c>
      <c r="D1786" t="s">
        <v>117</v>
      </c>
      <c r="E1786">
        <v>4.54</v>
      </c>
    </row>
    <row r="1787" spans="1:5" ht="15" customHeight="1" x14ac:dyDescent="0.25">
      <c r="A1787">
        <v>799</v>
      </c>
      <c r="B1787" t="s">
        <v>152</v>
      </c>
      <c r="C1787">
        <v>1</v>
      </c>
      <c r="D1787" t="s">
        <v>117</v>
      </c>
      <c r="E1787">
        <v>3.18</v>
      </c>
    </row>
    <row r="1788" spans="1:5" ht="15" customHeight="1" x14ac:dyDescent="0.25">
      <c r="A1788">
        <v>799</v>
      </c>
      <c r="B1788" t="s">
        <v>152</v>
      </c>
      <c r="C1788">
        <v>3</v>
      </c>
      <c r="D1788" t="s">
        <v>118</v>
      </c>
      <c r="E1788">
        <v>55.5</v>
      </c>
    </row>
    <row r="1789" spans="1:5" ht="15" customHeight="1" x14ac:dyDescent="0.25">
      <c r="A1789">
        <v>799</v>
      </c>
      <c r="B1789" t="s">
        <v>152</v>
      </c>
      <c r="C1789">
        <v>5</v>
      </c>
      <c r="D1789" t="s">
        <v>119</v>
      </c>
      <c r="E1789">
        <v>102.98</v>
      </c>
    </row>
    <row r="1790" spans="1:5" ht="15" customHeight="1" x14ac:dyDescent="0.25">
      <c r="A1790">
        <v>799</v>
      </c>
      <c r="B1790" t="s">
        <v>152</v>
      </c>
      <c r="C1790">
        <v>11</v>
      </c>
      <c r="D1790" t="s">
        <v>120</v>
      </c>
      <c r="E1790">
        <v>82.39</v>
      </c>
    </row>
    <row r="1791" spans="1:5" ht="15" customHeight="1" x14ac:dyDescent="0.25">
      <c r="A1791">
        <v>799</v>
      </c>
      <c r="B1791" t="s">
        <v>152</v>
      </c>
      <c r="C1791">
        <v>12</v>
      </c>
      <c r="D1791" t="s">
        <v>121</v>
      </c>
      <c r="E1791">
        <v>54.27</v>
      </c>
    </row>
    <row r="1792" spans="1:5" ht="15" customHeight="1" x14ac:dyDescent="0.25">
      <c r="A1792">
        <v>799</v>
      </c>
      <c r="B1792" t="s">
        <v>152</v>
      </c>
      <c r="C1792">
        <v>29</v>
      </c>
      <c r="D1792" t="s">
        <v>122</v>
      </c>
      <c r="E1792">
        <v>122.34</v>
      </c>
    </row>
    <row r="1793" spans="1:5" ht="15" customHeight="1" x14ac:dyDescent="0.25">
      <c r="A1793">
        <v>799</v>
      </c>
      <c r="B1793" t="s">
        <v>152</v>
      </c>
      <c r="C1793">
        <v>70</v>
      </c>
      <c r="D1793" t="s">
        <v>123</v>
      </c>
      <c r="E1793">
        <v>82.48</v>
      </c>
    </row>
    <row r="1794" spans="1:5" ht="15" customHeight="1" x14ac:dyDescent="0.25">
      <c r="A1794">
        <v>799</v>
      </c>
      <c r="B1794" t="s">
        <v>152</v>
      </c>
      <c r="C1794">
        <v>71</v>
      </c>
      <c r="D1794" t="s">
        <v>124</v>
      </c>
      <c r="E1794">
        <v>128.34</v>
      </c>
    </row>
    <row r="1795" spans="1:5" ht="15" customHeight="1" x14ac:dyDescent="0.25">
      <c r="A1795">
        <v>799</v>
      </c>
      <c r="B1795" t="s">
        <v>152</v>
      </c>
      <c r="C1795">
        <v>384</v>
      </c>
      <c r="D1795" t="s">
        <v>125</v>
      </c>
      <c r="E1795">
        <v>3.92</v>
      </c>
    </row>
    <row r="1796" spans="1:5" ht="15" customHeight="1" x14ac:dyDescent="0.25">
      <c r="A1796">
        <v>799</v>
      </c>
      <c r="B1796" t="s">
        <v>152</v>
      </c>
      <c r="C1796">
        <v>429</v>
      </c>
      <c r="D1796" t="s">
        <v>126</v>
      </c>
      <c r="E1796">
        <v>72.260000000000005</v>
      </c>
    </row>
    <row r="1797" spans="1:5" ht="15" customHeight="1" x14ac:dyDescent="0.25">
      <c r="A1797">
        <v>799</v>
      </c>
      <c r="B1797" t="s">
        <v>152</v>
      </c>
      <c r="C1797">
        <v>486</v>
      </c>
      <c r="D1797" t="s">
        <v>127</v>
      </c>
      <c r="E1797">
        <v>65.25</v>
      </c>
    </row>
    <row r="1798" spans="1:5" ht="15" customHeight="1" x14ac:dyDescent="0.25">
      <c r="A1798">
        <v>799</v>
      </c>
      <c r="B1798" t="s">
        <v>152</v>
      </c>
      <c r="C1798">
        <v>546</v>
      </c>
      <c r="D1798" t="s">
        <v>128</v>
      </c>
      <c r="E1798">
        <v>69.849999999999994</v>
      </c>
    </row>
    <row r="1799" spans="1:5" ht="15" customHeight="1" x14ac:dyDescent="0.25">
      <c r="A1799">
        <v>799</v>
      </c>
      <c r="B1799" t="s">
        <v>152</v>
      </c>
      <c r="C1799">
        <v>599</v>
      </c>
      <c r="D1799" t="s">
        <v>129</v>
      </c>
      <c r="E1799">
        <v>3.48</v>
      </c>
    </row>
    <row r="1800" spans="1:5" ht="15" customHeight="1" x14ac:dyDescent="0.25">
      <c r="A1800">
        <v>799</v>
      </c>
      <c r="B1800" t="s">
        <v>152</v>
      </c>
      <c r="C1800">
        <v>620</v>
      </c>
      <c r="D1800" t="s">
        <v>130</v>
      </c>
      <c r="E1800">
        <v>44.55</v>
      </c>
    </row>
    <row r="1801" spans="1:5" ht="15" customHeight="1" x14ac:dyDescent="0.25">
      <c r="A1801">
        <v>799</v>
      </c>
      <c r="B1801" t="s">
        <v>152</v>
      </c>
      <c r="C1801">
        <v>626</v>
      </c>
      <c r="D1801" t="s">
        <v>131</v>
      </c>
      <c r="E1801">
        <v>0.88</v>
      </c>
    </row>
    <row r="1802" spans="1:5" ht="15" customHeight="1" x14ac:dyDescent="0.25">
      <c r="A1802">
        <v>799</v>
      </c>
      <c r="B1802" t="s">
        <v>152</v>
      </c>
      <c r="C1802">
        <v>627</v>
      </c>
      <c r="D1802" t="s">
        <v>132</v>
      </c>
      <c r="E1802">
        <v>8.14</v>
      </c>
    </row>
    <row r="1803" spans="1:5" ht="15" customHeight="1" x14ac:dyDescent="0.25">
      <c r="A1803">
        <v>799</v>
      </c>
      <c r="B1803" t="s">
        <v>152</v>
      </c>
      <c r="C1803">
        <v>651</v>
      </c>
      <c r="D1803" t="s">
        <v>133</v>
      </c>
      <c r="E1803">
        <v>5.46</v>
      </c>
    </row>
    <row r="1804" spans="1:5" ht="15" customHeight="1" x14ac:dyDescent="0.25">
      <c r="A1804">
        <v>799</v>
      </c>
      <c r="B1804" t="s">
        <v>152</v>
      </c>
      <c r="C1804">
        <v>668</v>
      </c>
      <c r="D1804" t="s">
        <v>134</v>
      </c>
      <c r="E1804">
        <v>1.69</v>
      </c>
    </row>
    <row r="1805" spans="1:5" ht="15" customHeight="1" x14ac:dyDescent="0.25">
      <c r="A1805">
        <v>799</v>
      </c>
      <c r="B1805" t="s">
        <v>152</v>
      </c>
      <c r="C1805">
        <v>681</v>
      </c>
      <c r="D1805" t="s">
        <v>135</v>
      </c>
      <c r="E1805">
        <v>4.9400000000000004</v>
      </c>
    </row>
    <row r="1806" spans="1:5" ht="15" customHeight="1" x14ac:dyDescent="0.25">
      <c r="A1806">
        <v>799</v>
      </c>
      <c r="B1806" t="s">
        <v>152</v>
      </c>
      <c r="C1806">
        <v>682</v>
      </c>
      <c r="D1806" t="s">
        <v>136</v>
      </c>
      <c r="E1806">
        <v>3.52</v>
      </c>
    </row>
    <row r="1807" spans="1:5" ht="15" customHeight="1" x14ac:dyDescent="0.25">
      <c r="A1807">
        <v>799</v>
      </c>
      <c r="B1807" t="s">
        <v>152</v>
      </c>
      <c r="C1807">
        <v>683</v>
      </c>
      <c r="D1807" t="s">
        <v>137</v>
      </c>
      <c r="E1807">
        <v>3.71</v>
      </c>
    </row>
    <row r="1808" spans="1:5" ht="15" customHeight="1" x14ac:dyDescent="0.25">
      <c r="A1808">
        <v>799</v>
      </c>
      <c r="B1808" t="s">
        <v>152</v>
      </c>
      <c r="C1808">
        <v>684</v>
      </c>
      <c r="D1808" t="s">
        <v>138</v>
      </c>
      <c r="E1808">
        <v>2.0099999999999998</v>
      </c>
    </row>
    <row r="1809" spans="1:5" ht="15" customHeight="1" x14ac:dyDescent="0.25">
      <c r="A1809">
        <v>799</v>
      </c>
      <c r="B1809" t="s">
        <v>152</v>
      </c>
      <c r="C1809">
        <v>685</v>
      </c>
      <c r="D1809" t="s">
        <v>139</v>
      </c>
      <c r="E1809">
        <v>3.43</v>
      </c>
    </row>
    <row r="1810" spans="1:5" ht="15" customHeight="1" x14ac:dyDescent="0.25">
      <c r="A1810">
        <v>799</v>
      </c>
      <c r="B1810" t="s">
        <v>152</v>
      </c>
      <c r="C1810">
        <v>691</v>
      </c>
      <c r="D1810" t="s">
        <v>140</v>
      </c>
      <c r="E1810">
        <v>4.5599999999999996</v>
      </c>
    </row>
    <row r="1811" spans="1:5" ht="15" customHeight="1" x14ac:dyDescent="0.25">
      <c r="A1811">
        <v>799</v>
      </c>
      <c r="B1811" t="s">
        <v>152</v>
      </c>
      <c r="C1811">
        <v>706</v>
      </c>
      <c r="D1811" t="s">
        <v>141</v>
      </c>
      <c r="E1811">
        <v>5.07</v>
      </c>
    </row>
    <row r="1812" spans="1:5" ht="15" customHeight="1" x14ac:dyDescent="0.25">
      <c r="A1812">
        <v>799</v>
      </c>
      <c r="B1812" t="s">
        <v>152</v>
      </c>
      <c r="C1812">
        <v>713</v>
      </c>
      <c r="D1812" t="s">
        <v>142</v>
      </c>
      <c r="E1812">
        <v>2.31</v>
      </c>
    </row>
    <row r="1813" spans="1:5" ht="15" customHeight="1" x14ac:dyDescent="0.25">
      <c r="A1813">
        <v>799</v>
      </c>
      <c r="B1813" t="s">
        <v>152</v>
      </c>
      <c r="C1813">
        <v>718</v>
      </c>
      <c r="D1813" t="s">
        <v>143</v>
      </c>
      <c r="E1813">
        <v>6.01</v>
      </c>
    </row>
    <row r="1814" spans="1:5" ht="15" customHeight="1" x14ac:dyDescent="0.25">
      <c r="A1814">
        <v>799</v>
      </c>
      <c r="B1814" t="s">
        <v>152</v>
      </c>
      <c r="C1814">
        <v>731</v>
      </c>
      <c r="D1814" t="s">
        <v>144</v>
      </c>
      <c r="E1814">
        <v>27.35</v>
      </c>
    </row>
    <row r="1815" spans="1:5" ht="15" customHeight="1" x14ac:dyDescent="0.25">
      <c r="A1815">
        <v>799</v>
      </c>
      <c r="B1815" t="s">
        <v>152</v>
      </c>
      <c r="C1815">
        <v>743</v>
      </c>
      <c r="D1815" t="s">
        <v>145</v>
      </c>
      <c r="E1815">
        <v>13.28</v>
      </c>
    </row>
    <row r="1816" spans="1:5" ht="15" customHeight="1" x14ac:dyDescent="0.25">
      <c r="A1816">
        <v>799</v>
      </c>
      <c r="B1816" t="s">
        <v>152</v>
      </c>
      <c r="C1816">
        <v>760</v>
      </c>
      <c r="D1816" t="s">
        <v>146</v>
      </c>
      <c r="E1816">
        <v>3.7</v>
      </c>
    </row>
    <row r="1817" spans="1:5" ht="15" customHeight="1" x14ac:dyDescent="0.25">
      <c r="A1817">
        <v>799</v>
      </c>
      <c r="B1817" t="s">
        <v>152</v>
      </c>
      <c r="C1817">
        <v>765</v>
      </c>
      <c r="D1817" t="s">
        <v>147</v>
      </c>
      <c r="E1817">
        <v>1.35</v>
      </c>
    </row>
    <row r="1818" spans="1:5" ht="15" customHeight="1" x14ac:dyDescent="0.25">
      <c r="A1818">
        <v>799</v>
      </c>
      <c r="B1818" t="s">
        <v>152</v>
      </c>
      <c r="C1818">
        <v>766</v>
      </c>
      <c r="D1818" t="s">
        <v>148</v>
      </c>
      <c r="E1818">
        <v>4.8099999999999996</v>
      </c>
    </row>
    <row r="1819" spans="1:5" ht="15" customHeight="1" x14ac:dyDescent="0.25">
      <c r="A1819">
        <v>799</v>
      </c>
      <c r="B1819" t="s">
        <v>152</v>
      </c>
      <c r="C1819">
        <v>767</v>
      </c>
      <c r="D1819" t="s">
        <v>149</v>
      </c>
      <c r="E1819">
        <v>9.36</v>
      </c>
    </row>
    <row r="1820" spans="1:5" ht="15" customHeight="1" x14ac:dyDescent="0.25">
      <c r="A1820">
        <v>799</v>
      </c>
      <c r="B1820" t="s">
        <v>152</v>
      </c>
      <c r="C1820">
        <v>795</v>
      </c>
      <c r="D1820" t="s">
        <v>150</v>
      </c>
      <c r="E1820">
        <v>2.96</v>
      </c>
    </row>
    <row r="1821" spans="1:5" ht="15" customHeight="1" x14ac:dyDescent="0.25">
      <c r="A1821">
        <v>799</v>
      </c>
      <c r="B1821" t="s">
        <v>152</v>
      </c>
      <c r="C1821">
        <v>798</v>
      </c>
      <c r="D1821" t="s">
        <v>151</v>
      </c>
      <c r="E1821">
        <v>5.0599999999999996</v>
      </c>
    </row>
    <row r="1822" spans="1:5" ht="15" customHeight="1" x14ac:dyDescent="0.25">
      <c r="A1822">
        <v>799</v>
      </c>
      <c r="B1822" t="s">
        <v>152</v>
      </c>
      <c r="C1822">
        <v>799</v>
      </c>
      <c r="D1822" t="s">
        <v>152</v>
      </c>
      <c r="E1822">
        <v>0</v>
      </c>
    </row>
    <row r="1823" spans="1:5" ht="15" customHeight="1" x14ac:dyDescent="0.25">
      <c r="A1823">
        <v>799</v>
      </c>
      <c r="B1823" t="s">
        <v>152</v>
      </c>
      <c r="C1823">
        <v>811</v>
      </c>
      <c r="D1823" t="s">
        <v>153</v>
      </c>
      <c r="E1823">
        <v>7.75</v>
      </c>
    </row>
    <row r="1824" spans="1:5" ht="15" customHeight="1" x14ac:dyDescent="0.25">
      <c r="A1824">
        <v>799</v>
      </c>
      <c r="B1824" t="s">
        <v>152</v>
      </c>
      <c r="C1824">
        <v>820</v>
      </c>
      <c r="D1824" t="s">
        <v>154</v>
      </c>
      <c r="E1824">
        <v>3.95</v>
      </c>
    </row>
    <row r="1825" spans="1:5" ht="15" customHeight="1" x14ac:dyDescent="0.25">
      <c r="A1825">
        <v>799</v>
      </c>
      <c r="B1825" t="s">
        <v>152</v>
      </c>
      <c r="C1825">
        <v>830</v>
      </c>
      <c r="D1825" t="s">
        <v>155</v>
      </c>
      <c r="E1825">
        <v>4.47</v>
      </c>
    </row>
    <row r="1826" spans="1:5" ht="15" customHeight="1" x14ac:dyDescent="0.25">
      <c r="A1826">
        <v>799</v>
      </c>
      <c r="B1826" t="s">
        <v>152</v>
      </c>
      <c r="C1826">
        <v>831</v>
      </c>
      <c r="D1826" t="s">
        <v>156</v>
      </c>
      <c r="E1826">
        <v>5.05</v>
      </c>
    </row>
    <row r="1827" spans="1:5" ht="15" customHeight="1" x14ac:dyDescent="0.25">
      <c r="A1827">
        <v>799</v>
      </c>
      <c r="B1827" t="s">
        <v>152</v>
      </c>
      <c r="C1827">
        <v>832</v>
      </c>
      <c r="D1827" t="s">
        <v>157</v>
      </c>
      <c r="E1827">
        <v>3.82</v>
      </c>
    </row>
    <row r="1828" spans="1:5" ht="15" customHeight="1" x14ac:dyDescent="0.25">
      <c r="A1828">
        <v>799</v>
      </c>
      <c r="B1828" t="s">
        <v>152</v>
      </c>
      <c r="C1828">
        <v>833</v>
      </c>
      <c r="D1828" t="s">
        <v>158</v>
      </c>
      <c r="E1828">
        <v>2.04</v>
      </c>
    </row>
    <row r="1829" spans="1:5" ht="15" customHeight="1" x14ac:dyDescent="0.25">
      <c r="A1829">
        <v>799</v>
      </c>
      <c r="B1829" t="s">
        <v>152</v>
      </c>
      <c r="C1829">
        <v>840</v>
      </c>
      <c r="D1829" t="s">
        <v>159</v>
      </c>
      <c r="E1829">
        <v>4.9400000000000004</v>
      </c>
    </row>
    <row r="1830" spans="1:5" ht="15" customHeight="1" x14ac:dyDescent="0.25">
      <c r="A1830">
        <v>799</v>
      </c>
      <c r="B1830" t="s">
        <v>152</v>
      </c>
      <c r="C1830">
        <v>841</v>
      </c>
      <c r="D1830" t="s">
        <v>160</v>
      </c>
      <c r="E1830">
        <v>4.34</v>
      </c>
    </row>
    <row r="1831" spans="1:5" ht="15" customHeight="1" x14ac:dyDescent="0.25">
      <c r="A1831">
        <v>799</v>
      </c>
      <c r="B1831" t="s">
        <v>152</v>
      </c>
      <c r="C1831">
        <v>842</v>
      </c>
      <c r="D1831" t="s">
        <v>161</v>
      </c>
      <c r="E1831">
        <v>4.2</v>
      </c>
    </row>
    <row r="1832" spans="1:5" ht="15" customHeight="1" x14ac:dyDescent="0.25">
      <c r="A1832">
        <v>799</v>
      </c>
      <c r="B1832" t="s">
        <v>152</v>
      </c>
      <c r="C1832">
        <v>847</v>
      </c>
      <c r="D1832" t="s">
        <v>162</v>
      </c>
      <c r="E1832">
        <v>4.76</v>
      </c>
    </row>
    <row r="1833" spans="1:5" ht="15" customHeight="1" x14ac:dyDescent="0.25">
      <c r="A1833">
        <v>799</v>
      </c>
      <c r="B1833" t="s">
        <v>152</v>
      </c>
      <c r="C1833">
        <v>877</v>
      </c>
      <c r="D1833" t="s">
        <v>163</v>
      </c>
      <c r="E1833">
        <v>17.86</v>
      </c>
    </row>
    <row r="1834" spans="1:5" ht="15" customHeight="1" x14ac:dyDescent="0.25">
      <c r="A1834">
        <v>799</v>
      </c>
      <c r="B1834" t="s">
        <v>152</v>
      </c>
      <c r="C1834">
        <v>898</v>
      </c>
      <c r="D1834" t="s">
        <v>164</v>
      </c>
      <c r="E1834">
        <v>1.43</v>
      </c>
    </row>
    <row r="1835" spans="1:5" ht="15" customHeight="1" x14ac:dyDescent="0.25">
      <c r="A1835">
        <v>799</v>
      </c>
      <c r="B1835" t="s">
        <v>152</v>
      </c>
      <c r="C1835">
        <v>899</v>
      </c>
      <c r="D1835" t="s">
        <v>165</v>
      </c>
      <c r="E1835">
        <v>6.08</v>
      </c>
    </row>
    <row r="1836" spans="1:5" ht="15" customHeight="1" x14ac:dyDescent="0.25">
      <c r="A1836">
        <v>799</v>
      </c>
      <c r="B1836" t="s">
        <v>152</v>
      </c>
      <c r="C1836">
        <v>1912</v>
      </c>
      <c r="D1836" t="s">
        <v>166</v>
      </c>
      <c r="E1836">
        <v>23.01</v>
      </c>
    </row>
    <row r="1837" spans="1:5" ht="15" customHeight="1" x14ac:dyDescent="0.25">
      <c r="A1837">
        <v>799</v>
      </c>
      <c r="B1837" t="s">
        <v>152</v>
      </c>
      <c r="C1837">
        <v>9999</v>
      </c>
      <c r="D1837" t="s">
        <v>117</v>
      </c>
      <c r="E1837">
        <v>3.18</v>
      </c>
    </row>
    <row r="1838" spans="1:5" ht="15" customHeight="1" x14ac:dyDescent="0.25">
      <c r="A1838">
        <v>811</v>
      </c>
      <c r="B1838" t="s">
        <v>153</v>
      </c>
      <c r="C1838">
        <v>1</v>
      </c>
      <c r="D1838" t="s">
        <v>117</v>
      </c>
      <c r="E1838">
        <v>5.74</v>
      </c>
    </row>
    <row r="1839" spans="1:5" ht="15" customHeight="1" x14ac:dyDescent="0.25">
      <c r="A1839">
        <v>811</v>
      </c>
      <c r="B1839" t="s">
        <v>153</v>
      </c>
      <c r="C1839">
        <v>3</v>
      </c>
      <c r="D1839" t="s">
        <v>118</v>
      </c>
      <c r="E1839">
        <v>59.51</v>
      </c>
    </row>
    <row r="1840" spans="1:5" ht="15" customHeight="1" x14ac:dyDescent="0.25">
      <c r="A1840">
        <v>811</v>
      </c>
      <c r="B1840" t="s">
        <v>153</v>
      </c>
      <c r="C1840">
        <v>5</v>
      </c>
      <c r="D1840" t="s">
        <v>119</v>
      </c>
      <c r="E1840">
        <v>106.29</v>
      </c>
    </row>
    <row r="1841" spans="1:5" ht="15" customHeight="1" x14ac:dyDescent="0.25">
      <c r="A1841">
        <v>811</v>
      </c>
      <c r="B1841" t="s">
        <v>153</v>
      </c>
      <c r="C1841">
        <v>11</v>
      </c>
      <c r="D1841" t="s">
        <v>120</v>
      </c>
      <c r="E1841">
        <v>89.13</v>
      </c>
    </row>
    <row r="1842" spans="1:5" ht="15" customHeight="1" x14ac:dyDescent="0.25">
      <c r="A1842">
        <v>811</v>
      </c>
      <c r="B1842" t="s">
        <v>153</v>
      </c>
      <c r="C1842">
        <v>12</v>
      </c>
      <c r="D1842" t="s">
        <v>121</v>
      </c>
      <c r="E1842">
        <v>50.56</v>
      </c>
    </row>
    <row r="1843" spans="1:5" ht="15" customHeight="1" x14ac:dyDescent="0.25">
      <c r="A1843">
        <v>811</v>
      </c>
      <c r="B1843" t="s">
        <v>153</v>
      </c>
      <c r="C1843">
        <v>29</v>
      </c>
      <c r="D1843" t="s">
        <v>122</v>
      </c>
      <c r="E1843">
        <v>124.31</v>
      </c>
    </row>
    <row r="1844" spans="1:5" ht="15" customHeight="1" x14ac:dyDescent="0.25">
      <c r="A1844">
        <v>811</v>
      </c>
      <c r="B1844" t="s">
        <v>153</v>
      </c>
      <c r="C1844">
        <v>70</v>
      </c>
      <c r="D1844" t="s">
        <v>123</v>
      </c>
      <c r="E1844">
        <v>75.91</v>
      </c>
    </row>
    <row r="1845" spans="1:5" ht="15" customHeight="1" x14ac:dyDescent="0.25">
      <c r="A1845">
        <v>811</v>
      </c>
      <c r="B1845" t="s">
        <v>153</v>
      </c>
      <c r="C1845">
        <v>71</v>
      </c>
      <c r="D1845" t="s">
        <v>124</v>
      </c>
      <c r="E1845">
        <v>120.68</v>
      </c>
    </row>
    <row r="1846" spans="1:5" ht="15" customHeight="1" x14ac:dyDescent="0.25">
      <c r="A1846">
        <v>811</v>
      </c>
      <c r="B1846" t="s">
        <v>153</v>
      </c>
      <c r="C1846">
        <v>384</v>
      </c>
      <c r="D1846" t="s">
        <v>125</v>
      </c>
      <c r="E1846">
        <v>5.93</v>
      </c>
    </row>
    <row r="1847" spans="1:5" ht="15" customHeight="1" x14ac:dyDescent="0.25">
      <c r="A1847">
        <v>811</v>
      </c>
      <c r="B1847" t="s">
        <v>153</v>
      </c>
      <c r="C1847">
        <v>429</v>
      </c>
      <c r="D1847" t="s">
        <v>126</v>
      </c>
      <c r="E1847">
        <v>64.62</v>
      </c>
    </row>
    <row r="1848" spans="1:5" ht="15" customHeight="1" x14ac:dyDescent="0.25">
      <c r="A1848">
        <v>811</v>
      </c>
      <c r="B1848" t="s">
        <v>153</v>
      </c>
      <c r="C1848">
        <v>486</v>
      </c>
      <c r="D1848" t="s">
        <v>127</v>
      </c>
      <c r="E1848">
        <v>63.33</v>
      </c>
    </row>
    <row r="1849" spans="1:5" ht="15" customHeight="1" x14ac:dyDescent="0.25">
      <c r="A1849">
        <v>811</v>
      </c>
      <c r="B1849" t="s">
        <v>153</v>
      </c>
      <c r="C1849">
        <v>546</v>
      </c>
      <c r="D1849" t="s">
        <v>128</v>
      </c>
      <c r="E1849">
        <v>72.09</v>
      </c>
    </row>
    <row r="1850" spans="1:5" ht="15" customHeight="1" x14ac:dyDescent="0.25">
      <c r="A1850">
        <v>811</v>
      </c>
      <c r="B1850" t="s">
        <v>153</v>
      </c>
      <c r="C1850">
        <v>599</v>
      </c>
      <c r="D1850" t="s">
        <v>129</v>
      </c>
      <c r="E1850">
        <v>6.77</v>
      </c>
    </row>
    <row r="1851" spans="1:5" ht="15" customHeight="1" x14ac:dyDescent="0.25">
      <c r="A1851">
        <v>811</v>
      </c>
      <c r="B1851" t="s">
        <v>153</v>
      </c>
      <c r="C1851">
        <v>620</v>
      </c>
      <c r="D1851" t="s">
        <v>130</v>
      </c>
      <c r="E1851">
        <v>40.65</v>
      </c>
    </row>
    <row r="1852" spans="1:5" ht="15" customHeight="1" x14ac:dyDescent="0.25">
      <c r="A1852">
        <v>811</v>
      </c>
      <c r="B1852" t="s">
        <v>153</v>
      </c>
      <c r="C1852">
        <v>626</v>
      </c>
      <c r="D1852" t="s">
        <v>131</v>
      </c>
      <c r="E1852">
        <v>8.4700000000000006</v>
      </c>
    </row>
    <row r="1853" spans="1:5" ht="15" customHeight="1" x14ac:dyDescent="0.25">
      <c r="A1853">
        <v>811</v>
      </c>
      <c r="B1853" t="s">
        <v>153</v>
      </c>
      <c r="C1853">
        <v>627</v>
      </c>
      <c r="D1853" t="s">
        <v>132</v>
      </c>
      <c r="E1853">
        <v>4.93</v>
      </c>
    </row>
    <row r="1854" spans="1:5" ht="15" customHeight="1" x14ac:dyDescent="0.25">
      <c r="A1854">
        <v>811</v>
      </c>
      <c r="B1854" t="s">
        <v>153</v>
      </c>
      <c r="C1854">
        <v>651</v>
      </c>
      <c r="D1854" t="s">
        <v>133</v>
      </c>
      <c r="E1854">
        <v>6.42</v>
      </c>
    </row>
    <row r="1855" spans="1:5" ht="15" customHeight="1" x14ac:dyDescent="0.25">
      <c r="A1855">
        <v>811</v>
      </c>
      <c r="B1855" t="s">
        <v>153</v>
      </c>
      <c r="C1855">
        <v>668</v>
      </c>
      <c r="D1855" t="s">
        <v>134</v>
      </c>
      <c r="E1855">
        <v>6.44</v>
      </c>
    </row>
    <row r="1856" spans="1:5" ht="15" customHeight="1" x14ac:dyDescent="0.25">
      <c r="A1856">
        <v>811</v>
      </c>
      <c r="B1856" t="s">
        <v>153</v>
      </c>
      <c r="C1856">
        <v>681</v>
      </c>
      <c r="D1856" t="s">
        <v>135</v>
      </c>
      <c r="E1856">
        <v>8.56</v>
      </c>
    </row>
    <row r="1857" spans="1:5" ht="15" customHeight="1" x14ac:dyDescent="0.25">
      <c r="A1857">
        <v>811</v>
      </c>
      <c r="B1857" t="s">
        <v>153</v>
      </c>
      <c r="C1857">
        <v>682</v>
      </c>
      <c r="D1857" t="s">
        <v>136</v>
      </c>
      <c r="E1857">
        <v>5.0599999999999996</v>
      </c>
    </row>
    <row r="1858" spans="1:5" ht="15" customHeight="1" x14ac:dyDescent="0.25">
      <c r="A1858">
        <v>811</v>
      </c>
      <c r="B1858" t="s">
        <v>153</v>
      </c>
      <c r="C1858">
        <v>683</v>
      </c>
      <c r="D1858" t="s">
        <v>137</v>
      </c>
      <c r="E1858">
        <v>5.51</v>
      </c>
    </row>
    <row r="1859" spans="1:5" ht="15" customHeight="1" x14ac:dyDescent="0.25">
      <c r="A1859">
        <v>811</v>
      </c>
      <c r="B1859" t="s">
        <v>153</v>
      </c>
      <c r="C1859">
        <v>684</v>
      </c>
      <c r="D1859" t="s">
        <v>138</v>
      </c>
      <c r="E1859">
        <v>6.83</v>
      </c>
    </row>
    <row r="1860" spans="1:5" ht="15" customHeight="1" x14ac:dyDescent="0.25">
      <c r="A1860">
        <v>811</v>
      </c>
      <c r="B1860" t="s">
        <v>153</v>
      </c>
      <c r="C1860">
        <v>685</v>
      </c>
      <c r="D1860" t="s">
        <v>139</v>
      </c>
      <c r="E1860">
        <v>7.5</v>
      </c>
    </row>
    <row r="1861" spans="1:5" ht="15" customHeight="1" x14ac:dyDescent="0.25">
      <c r="A1861">
        <v>811</v>
      </c>
      <c r="B1861" t="s">
        <v>153</v>
      </c>
      <c r="C1861">
        <v>691</v>
      </c>
      <c r="D1861" t="s">
        <v>140</v>
      </c>
      <c r="E1861">
        <v>8.68</v>
      </c>
    </row>
    <row r="1862" spans="1:5" ht="15" customHeight="1" x14ac:dyDescent="0.25">
      <c r="A1862">
        <v>811</v>
      </c>
      <c r="B1862" t="s">
        <v>153</v>
      </c>
      <c r="C1862">
        <v>706</v>
      </c>
      <c r="D1862" t="s">
        <v>141</v>
      </c>
      <c r="E1862">
        <v>6.09</v>
      </c>
    </row>
    <row r="1863" spans="1:5" ht="15" customHeight="1" x14ac:dyDescent="0.25">
      <c r="A1863">
        <v>811</v>
      </c>
      <c r="B1863" t="s">
        <v>153</v>
      </c>
      <c r="C1863">
        <v>713</v>
      </c>
      <c r="D1863" t="s">
        <v>142</v>
      </c>
      <c r="E1863">
        <v>5.48</v>
      </c>
    </row>
    <row r="1864" spans="1:5" ht="15" customHeight="1" x14ac:dyDescent="0.25">
      <c r="A1864">
        <v>811</v>
      </c>
      <c r="B1864" t="s">
        <v>153</v>
      </c>
      <c r="C1864">
        <v>718</v>
      </c>
      <c r="D1864" t="s">
        <v>143</v>
      </c>
      <c r="E1864">
        <v>3.59</v>
      </c>
    </row>
    <row r="1865" spans="1:5" ht="15" customHeight="1" x14ac:dyDescent="0.25">
      <c r="A1865">
        <v>811</v>
      </c>
      <c r="B1865" t="s">
        <v>153</v>
      </c>
      <c r="C1865">
        <v>731</v>
      </c>
      <c r="D1865" t="s">
        <v>144</v>
      </c>
      <c r="E1865">
        <v>31.89</v>
      </c>
    </row>
    <row r="1866" spans="1:5" ht="15" customHeight="1" x14ac:dyDescent="0.25">
      <c r="A1866">
        <v>811</v>
      </c>
      <c r="B1866" t="s">
        <v>153</v>
      </c>
      <c r="C1866">
        <v>743</v>
      </c>
      <c r="D1866" t="s">
        <v>145</v>
      </c>
      <c r="E1866">
        <v>20.5</v>
      </c>
    </row>
    <row r="1867" spans="1:5" ht="15" customHeight="1" x14ac:dyDescent="0.25">
      <c r="A1867">
        <v>811</v>
      </c>
      <c r="B1867" t="s">
        <v>153</v>
      </c>
      <c r="C1867">
        <v>760</v>
      </c>
      <c r="D1867" t="s">
        <v>146</v>
      </c>
      <c r="E1867">
        <v>8.1199999999999992</v>
      </c>
    </row>
    <row r="1868" spans="1:5" ht="15" customHeight="1" x14ac:dyDescent="0.25">
      <c r="A1868">
        <v>811</v>
      </c>
      <c r="B1868" t="s">
        <v>153</v>
      </c>
      <c r="C1868">
        <v>765</v>
      </c>
      <c r="D1868" t="s">
        <v>147</v>
      </c>
      <c r="E1868">
        <v>9.07</v>
      </c>
    </row>
    <row r="1869" spans="1:5" ht="15" customHeight="1" x14ac:dyDescent="0.25">
      <c r="A1869">
        <v>811</v>
      </c>
      <c r="B1869" t="s">
        <v>153</v>
      </c>
      <c r="C1869">
        <v>766</v>
      </c>
      <c r="D1869" t="s">
        <v>148</v>
      </c>
      <c r="E1869">
        <v>4.37</v>
      </c>
    </row>
    <row r="1870" spans="1:5" ht="15" customHeight="1" x14ac:dyDescent="0.25">
      <c r="A1870">
        <v>811</v>
      </c>
      <c r="B1870" t="s">
        <v>153</v>
      </c>
      <c r="C1870">
        <v>767</v>
      </c>
      <c r="D1870" t="s">
        <v>149</v>
      </c>
      <c r="E1870">
        <v>7.82</v>
      </c>
    </row>
    <row r="1871" spans="1:5" ht="15" customHeight="1" x14ac:dyDescent="0.25">
      <c r="A1871">
        <v>811</v>
      </c>
      <c r="B1871" t="s">
        <v>153</v>
      </c>
      <c r="C1871">
        <v>795</v>
      </c>
      <c r="D1871" t="s">
        <v>150</v>
      </c>
      <c r="E1871">
        <v>7.11</v>
      </c>
    </row>
    <row r="1872" spans="1:5" ht="15" customHeight="1" x14ac:dyDescent="0.25">
      <c r="A1872">
        <v>811</v>
      </c>
      <c r="B1872" t="s">
        <v>153</v>
      </c>
      <c r="C1872">
        <v>798</v>
      </c>
      <c r="D1872" t="s">
        <v>151</v>
      </c>
      <c r="E1872">
        <v>10.17</v>
      </c>
    </row>
    <row r="1873" spans="1:5" ht="15" customHeight="1" x14ac:dyDescent="0.25">
      <c r="A1873">
        <v>811</v>
      </c>
      <c r="B1873" t="s">
        <v>153</v>
      </c>
      <c r="C1873">
        <v>799</v>
      </c>
      <c r="D1873" t="s">
        <v>152</v>
      </c>
      <c r="E1873">
        <v>7.75</v>
      </c>
    </row>
    <row r="1874" spans="1:5" ht="15" customHeight="1" x14ac:dyDescent="0.25">
      <c r="A1874">
        <v>811</v>
      </c>
      <c r="B1874" t="s">
        <v>153</v>
      </c>
      <c r="C1874">
        <v>811</v>
      </c>
      <c r="D1874" t="s">
        <v>153</v>
      </c>
      <c r="E1874">
        <v>0</v>
      </c>
    </row>
    <row r="1875" spans="1:5" ht="15" customHeight="1" x14ac:dyDescent="0.25">
      <c r="A1875">
        <v>811</v>
      </c>
      <c r="B1875" t="s">
        <v>153</v>
      </c>
      <c r="C1875">
        <v>820</v>
      </c>
      <c r="D1875" t="s">
        <v>154</v>
      </c>
      <c r="E1875">
        <v>9.0500000000000007</v>
      </c>
    </row>
    <row r="1876" spans="1:5" ht="15" customHeight="1" x14ac:dyDescent="0.25">
      <c r="A1876">
        <v>811</v>
      </c>
      <c r="B1876" t="s">
        <v>153</v>
      </c>
      <c r="C1876">
        <v>830</v>
      </c>
      <c r="D1876" t="s">
        <v>155</v>
      </c>
      <c r="E1876">
        <v>9.2899999999999991</v>
      </c>
    </row>
    <row r="1877" spans="1:5" ht="15" customHeight="1" x14ac:dyDescent="0.25">
      <c r="A1877">
        <v>811</v>
      </c>
      <c r="B1877" t="s">
        <v>153</v>
      </c>
      <c r="C1877">
        <v>831</v>
      </c>
      <c r="D1877" t="s">
        <v>156</v>
      </c>
      <c r="E1877">
        <v>8.92</v>
      </c>
    </row>
    <row r="1878" spans="1:5" ht="15" customHeight="1" x14ac:dyDescent="0.25">
      <c r="A1878">
        <v>811</v>
      </c>
      <c r="B1878" t="s">
        <v>153</v>
      </c>
      <c r="C1878">
        <v>832</v>
      </c>
      <c r="D1878" t="s">
        <v>157</v>
      </c>
      <c r="E1878">
        <v>9.2899999999999991</v>
      </c>
    </row>
    <row r="1879" spans="1:5" ht="15" customHeight="1" x14ac:dyDescent="0.25">
      <c r="A1879">
        <v>811</v>
      </c>
      <c r="B1879" t="s">
        <v>153</v>
      </c>
      <c r="C1879">
        <v>833</v>
      </c>
      <c r="D1879" t="s">
        <v>158</v>
      </c>
      <c r="E1879">
        <v>7.61</v>
      </c>
    </row>
    <row r="1880" spans="1:5" ht="15" customHeight="1" x14ac:dyDescent="0.25">
      <c r="A1880">
        <v>811</v>
      </c>
      <c r="B1880" t="s">
        <v>153</v>
      </c>
      <c r="C1880">
        <v>840</v>
      </c>
      <c r="D1880" t="s">
        <v>159</v>
      </c>
      <c r="E1880">
        <v>11.41</v>
      </c>
    </row>
    <row r="1881" spans="1:5" ht="15" customHeight="1" x14ac:dyDescent="0.25">
      <c r="A1881">
        <v>811</v>
      </c>
      <c r="B1881" t="s">
        <v>153</v>
      </c>
      <c r="C1881">
        <v>841</v>
      </c>
      <c r="D1881" t="s">
        <v>160</v>
      </c>
      <c r="E1881">
        <v>7.16</v>
      </c>
    </row>
    <row r="1882" spans="1:5" ht="15" customHeight="1" x14ac:dyDescent="0.25">
      <c r="A1882">
        <v>811</v>
      </c>
      <c r="B1882" t="s">
        <v>153</v>
      </c>
      <c r="C1882">
        <v>842</v>
      </c>
      <c r="D1882" t="s">
        <v>161</v>
      </c>
      <c r="E1882">
        <v>3.75</v>
      </c>
    </row>
    <row r="1883" spans="1:5" ht="15" customHeight="1" x14ac:dyDescent="0.25">
      <c r="A1883">
        <v>811</v>
      </c>
      <c r="B1883" t="s">
        <v>153</v>
      </c>
      <c r="C1883">
        <v>847</v>
      </c>
      <c r="D1883" t="s">
        <v>162</v>
      </c>
      <c r="E1883">
        <v>6.95</v>
      </c>
    </row>
    <row r="1884" spans="1:5" ht="15" customHeight="1" x14ac:dyDescent="0.25">
      <c r="A1884">
        <v>811</v>
      </c>
      <c r="B1884" t="s">
        <v>153</v>
      </c>
      <c r="C1884">
        <v>877</v>
      </c>
      <c r="D1884" t="s">
        <v>163</v>
      </c>
      <c r="E1884">
        <v>22.83</v>
      </c>
    </row>
    <row r="1885" spans="1:5" ht="15" customHeight="1" x14ac:dyDescent="0.25">
      <c r="A1885">
        <v>811</v>
      </c>
      <c r="B1885" t="s">
        <v>153</v>
      </c>
      <c r="C1885">
        <v>898</v>
      </c>
      <c r="D1885" t="s">
        <v>164</v>
      </c>
      <c r="E1885">
        <v>7.62</v>
      </c>
    </row>
    <row r="1886" spans="1:5" ht="15" customHeight="1" x14ac:dyDescent="0.25">
      <c r="A1886">
        <v>811</v>
      </c>
      <c r="B1886" t="s">
        <v>153</v>
      </c>
      <c r="C1886">
        <v>899</v>
      </c>
      <c r="D1886" t="s">
        <v>165</v>
      </c>
      <c r="E1886">
        <v>1.67</v>
      </c>
    </row>
    <row r="1887" spans="1:5" ht="15" customHeight="1" x14ac:dyDescent="0.25">
      <c r="A1887">
        <v>811</v>
      </c>
      <c r="B1887" t="s">
        <v>153</v>
      </c>
      <c r="C1887">
        <v>1912</v>
      </c>
      <c r="D1887" t="s">
        <v>166</v>
      </c>
      <c r="E1887">
        <v>26.94</v>
      </c>
    </row>
    <row r="1888" spans="1:5" ht="15" customHeight="1" x14ac:dyDescent="0.25">
      <c r="A1888">
        <v>811</v>
      </c>
      <c r="B1888" t="s">
        <v>153</v>
      </c>
      <c r="C1888">
        <v>9999</v>
      </c>
      <c r="D1888" t="s">
        <v>117</v>
      </c>
      <c r="E1888">
        <v>5.74</v>
      </c>
    </row>
    <row r="1889" spans="1:5" ht="15" customHeight="1" x14ac:dyDescent="0.25">
      <c r="A1889">
        <v>820</v>
      </c>
      <c r="B1889" t="s">
        <v>154</v>
      </c>
      <c r="C1889">
        <v>1</v>
      </c>
      <c r="D1889" t="s">
        <v>117</v>
      </c>
      <c r="E1889">
        <v>3.36</v>
      </c>
    </row>
    <row r="1890" spans="1:5" ht="15" customHeight="1" x14ac:dyDescent="0.25">
      <c r="A1890">
        <v>820</v>
      </c>
      <c r="B1890" t="s">
        <v>154</v>
      </c>
      <c r="C1890">
        <v>3</v>
      </c>
      <c r="D1890" t="s">
        <v>118</v>
      </c>
      <c r="E1890">
        <v>58.83</v>
      </c>
    </row>
    <row r="1891" spans="1:5" ht="15" customHeight="1" x14ac:dyDescent="0.25">
      <c r="A1891">
        <v>820</v>
      </c>
      <c r="B1891" t="s">
        <v>154</v>
      </c>
      <c r="C1891">
        <v>5</v>
      </c>
      <c r="D1891" t="s">
        <v>119</v>
      </c>
      <c r="E1891">
        <v>106.44</v>
      </c>
    </row>
    <row r="1892" spans="1:5" ht="15" customHeight="1" x14ac:dyDescent="0.25">
      <c r="A1892">
        <v>820</v>
      </c>
      <c r="B1892" t="s">
        <v>154</v>
      </c>
      <c r="C1892">
        <v>11</v>
      </c>
      <c r="D1892" t="s">
        <v>120</v>
      </c>
      <c r="E1892">
        <v>84.13</v>
      </c>
    </row>
    <row r="1893" spans="1:5" ht="15" customHeight="1" x14ac:dyDescent="0.25">
      <c r="A1893">
        <v>820</v>
      </c>
      <c r="B1893" t="s">
        <v>154</v>
      </c>
      <c r="C1893">
        <v>12</v>
      </c>
      <c r="D1893" t="s">
        <v>121</v>
      </c>
      <c r="E1893">
        <v>57.84</v>
      </c>
    </row>
    <row r="1894" spans="1:5" ht="15" customHeight="1" x14ac:dyDescent="0.25">
      <c r="A1894">
        <v>820</v>
      </c>
      <c r="B1894" t="s">
        <v>154</v>
      </c>
      <c r="C1894">
        <v>29</v>
      </c>
      <c r="D1894" t="s">
        <v>122</v>
      </c>
      <c r="E1894">
        <v>118.41</v>
      </c>
    </row>
    <row r="1895" spans="1:5" ht="15" customHeight="1" x14ac:dyDescent="0.25">
      <c r="A1895">
        <v>820</v>
      </c>
      <c r="B1895" t="s">
        <v>154</v>
      </c>
      <c r="C1895">
        <v>70</v>
      </c>
      <c r="D1895" t="s">
        <v>123</v>
      </c>
      <c r="E1895">
        <v>84.89</v>
      </c>
    </row>
    <row r="1896" spans="1:5" ht="15" customHeight="1" x14ac:dyDescent="0.25">
      <c r="A1896">
        <v>820</v>
      </c>
      <c r="B1896" t="s">
        <v>154</v>
      </c>
      <c r="C1896">
        <v>71</v>
      </c>
      <c r="D1896" t="s">
        <v>124</v>
      </c>
      <c r="E1896">
        <v>128.22999999999999</v>
      </c>
    </row>
    <row r="1897" spans="1:5" ht="15" customHeight="1" x14ac:dyDescent="0.25">
      <c r="A1897">
        <v>820</v>
      </c>
      <c r="B1897" t="s">
        <v>154</v>
      </c>
      <c r="C1897">
        <v>384</v>
      </c>
      <c r="D1897" t="s">
        <v>125</v>
      </c>
      <c r="E1897">
        <v>3.16</v>
      </c>
    </row>
    <row r="1898" spans="1:5" ht="15" customHeight="1" x14ac:dyDescent="0.25">
      <c r="A1898">
        <v>820</v>
      </c>
      <c r="B1898" t="s">
        <v>154</v>
      </c>
      <c r="C1898">
        <v>429</v>
      </c>
      <c r="D1898" t="s">
        <v>126</v>
      </c>
      <c r="E1898">
        <v>72.17</v>
      </c>
    </row>
    <row r="1899" spans="1:5" ht="15" customHeight="1" x14ac:dyDescent="0.25">
      <c r="A1899">
        <v>820</v>
      </c>
      <c r="B1899" t="s">
        <v>154</v>
      </c>
      <c r="C1899">
        <v>486</v>
      </c>
      <c r="D1899" t="s">
        <v>127</v>
      </c>
      <c r="E1899">
        <v>69.12</v>
      </c>
    </row>
    <row r="1900" spans="1:5" ht="15" customHeight="1" x14ac:dyDescent="0.25">
      <c r="A1900">
        <v>820</v>
      </c>
      <c r="B1900" t="s">
        <v>154</v>
      </c>
      <c r="C1900">
        <v>546</v>
      </c>
      <c r="D1900" t="s">
        <v>128</v>
      </c>
      <c r="E1900">
        <v>73.58</v>
      </c>
    </row>
    <row r="1901" spans="1:5" ht="15" customHeight="1" x14ac:dyDescent="0.25">
      <c r="A1901">
        <v>820</v>
      </c>
      <c r="B1901" t="s">
        <v>154</v>
      </c>
      <c r="C1901">
        <v>599</v>
      </c>
      <c r="D1901" t="s">
        <v>129</v>
      </c>
      <c r="E1901">
        <v>7.28</v>
      </c>
    </row>
    <row r="1902" spans="1:5" ht="15" customHeight="1" x14ac:dyDescent="0.25">
      <c r="A1902">
        <v>820</v>
      </c>
      <c r="B1902" t="s">
        <v>154</v>
      </c>
      <c r="C1902">
        <v>620</v>
      </c>
      <c r="D1902" t="s">
        <v>130</v>
      </c>
      <c r="E1902">
        <v>41.63</v>
      </c>
    </row>
    <row r="1903" spans="1:5" ht="15" customHeight="1" x14ac:dyDescent="0.25">
      <c r="A1903">
        <v>820</v>
      </c>
      <c r="B1903" t="s">
        <v>154</v>
      </c>
      <c r="C1903">
        <v>626</v>
      </c>
      <c r="D1903" t="s">
        <v>131</v>
      </c>
      <c r="E1903">
        <v>3.43</v>
      </c>
    </row>
    <row r="1904" spans="1:5" ht="15" customHeight="1" x14ac:dyDescent="0.25">
      <c r="A1904">
        <v>820</v>
      </c>
      <c r="B1904" t="s">
        <v>154</v>
      </c>
      <c r="C1904">
        <v>627</v>
      </c>
      <c r="D1904" t="s">
        <v>132</v>
      </c>
      <c r="E1904">
        <v>7.05</v>
      </c>
    </row>
    <row r="1905" spans="1:5" ht="15" customHeight="1" x14ac:dyDescent="0.25">
      <c r="A1905">
        <v>820</v>
      </c>
      <c r="B1905" t="s">
        <v>154</v>
      </c>
      <c r="C1905">
        <v>651</v>
      </c>
      <c r="D1905" t="s">
        <v>133</v>
      </c>
      <c r="E1905">
        <v>3.59</v>
      </c>
    </row>
    <row r="1906" spans="1:5" ht="15" customHeight="1" x14ac:dyDescent="0.25">
      <c r="A1906">
        <v>820</v>
      </c>
      <c r="B1906" t="s">
        <v>154</v>
      </c>
      <c r="C1906">
        <v>668</v>
      </c>
      <c r="D1906" t="s">
        <v>134</v>
      </c>
      <c r="E1906">
        <v>5.23</v>
      </c>
    </row>
    <row r="1907" spans="1:5" ht="15" customHeight="1" x14ac:dyDescent="0.25">
      <c r="A1907">
        <v>820</v>
      </c>
      <c r="B1907" t="s">
        <v>154</v>
      </c>
      <c r="C1907">
        <v>681</v>
      </c>
      <c r="D1907" t="s">
        <v>135</v>
      </c>
      <c r="E1907">
        <v>1.48</v>
      </c>
    </row>
    <row r="1908" spans="1:5" ht="15" customHeight="1" x14ac:dyDescent="0.25">
      <c r="A1908">
        <v>820</v>
      </c>
      <c r="B1908" t="s">
        <v>154</v>
      </c>
      <c r="C1908">
        <v>682</v>
      </c>
      <c r="D1908" t="s">
        <v>136</v>
      </c>
      <c r="E1908">
        <v>4.03</v>
      </c>
    </row>
    <row r="1909" spans="1:5" ht="15" customHeight="1" x14ac:dyDescent="0.25">
      <c r="A1909">
        <v>820</v>
      </c>
      <c r="B1909" t="s">
        <v>154</v>
      </c>
      <c r="C1909">
        <v>683</v>
      </c>
      <c r="D1909" t="s">
        <v>137</v>
      </c>
      <c r="E1909">
        <v>3.54</v>
      </c>
    </row>
    <row r="1910" spans="1:5" ht="15" customHeight="1" x14ac:dyDescent="0.25">
      <c r="A1910">
        <v>820</v>
      </c>
      <c r="B1910" t="s">
        <v>154</v>
      </c>
      <c r="C1910">
        <v>684</v>
      </c>
      <c r="D1910" t="s">
        <v>138</v>
      </c>
      <c r="E1910">
        <v>2.72</v>
      </c>
    </row>
    <row r="1911" spans="1:5" ht="15" customHeight="1" x14ac:dyDescent="0.25">
      <c r="A1911">
        <v>820</v>
      </c>
      <c r="B1911" t="s">
        <v>154</v>
      </c>
      <c r="C1911">
        <v>685</v>
      </c>
      <c r="D1911" t="s">
        <v>139</v>
      </c>
      <c r="E1911">
        <v>1.55</v>
      </c>
    </row>
    <row r="1912" spans="1:5" ht="15" customHeight="1" x14ac:dyDescent="0.25">
      <c r="A1912">
        <v>820</v>
      </c>
      <c r="B1912" t="s">
        <v>154</v>
      </c>
      <c r="C1912">
        <v>691</v>
      </c>
      <c r="D1912" t="s">
        <v>140</v>
      </c>
      <c r="E1912">
        <v>0.98</v>
      </c>
    </row>
    <row r="1913" spans="1:5" ht="15" customHeight="1" x14ac:dyDescent="0.25">
      <c r="A1913">
        <v>820</v>
      </c>
      <c r="B1913" t="s">
        <v>154</v>
      </c>
      <c r="C1913">
        <v>706</v>
      </c>
      <c r="D1913" t="s">
        <v>141</v>
      </c>
      <c r="E1913">
        <v>3.55</v>
      </c>
    </row>
    <row r="1914" spans="1:5" ht="15" customHeight="1" x14ac:dyDescent="0.25">
      <c r="A1914">
        <v>820</v>
      </c>
      <c r="B1914" t="s">
        <v>154</v>
      </c>
      <c r="C1914">
        <v>713</v>
      </c>
      <c r="D1914" t="s">
        <v>142</v>
      </c>
      <c r="E1914">
        <v>4.46</v>
      </c>
    </row>
    <row r="1915" spans="1:5" ht="15" customHeight="1" x14ac:dyDescent="0.25">
      <c r="A1915">
        <v>820</v>
      </c>
      <c r="B1915" t="s">
        <v>154</v>
      </c>
      <c r="C1915">
        <v>718</v>
      </c>
      <c r="D1915" t="s">
        <v>143</v>
      </c>
      <c r="E1915">
        <v>5.91</v>
      </c>
    </row>
    <row r="1916" spans="1:5" ht="15" customHeight="1" x14ac:dyDescent="0.25">
      <c r="A1916">
        <v>820</v>
      </c>
      <c r="B1916" t="s">
        <v>154</v>
      </c>
      <c r="C1916">
        <v>731</v>
      </c>
      <c r="D1916" t="s">
        <v>144</v>
      </c>
      <c r="E1916">
        <v>30.66</v>
      </c>
    </row>
    <row r="1917" spans="1:5" ht="15" customHeight="1" x14ac:dyDescent="0.25">
      <c r="A1917">
        <v>820</v>
      </c>
      <c r="B1917" t="s">
        <v>154</v>
      </c>
      <c r="C1917">
        <v>743</v>
      </c>
      <c r="D1917" t="s">
        <v>145</v>
      </c>
      <c r="E1917">
        <v>11.64</v>
      </c>
    </row>
    <row r="1918" spans="1:5" ht="15" customHeight="1" x14ac:dyDescent="0.25">
      <c r="A1918">
        <v>820</v>
      </c>
      <c r="B1918" t="s">
        <v>154</v>
      </c>
      <c r="C1918">
        <v>760</v>
      </c>
      <c r="D1918" t="s">
        <v>146</v>
      </c>
      <c r="E1918">
        <v>0.94</v>
      </c>
    </row>
    <row r="1919" spans="1:5" ht="15" customHeight="1" x14ac:dyDescent="0.25">
      <c r="A1919">
        <v>820</v>
      </c>
      <c r="B1919" t="s">
        <v>154</v>
      </c>
      <c r="C1919">
        <v>765</v>
      </c>
      <c r="D1919" t="s">
        <v>147</v>
      </c>
      <c r="E1919">
        <v>4.28</v>
      </c>
    </row>
    <row r="1920" spans="1:5" ht="15" customHeight="1" x14ac:dyDescent="0.25">
      <c r="A1920">
        <v>820</v>
      </c>
      <c r="B1920" t="s">
        <v>154</v>
      </c>
      <c r="C1920">
        <v>766</v>
      </c>
      <c r="D1920" t="s">
        <v>148</v>
      </c>
      <c r="E1920">
        <v>4.7699999999999996</v>
      </c>
    </row>
    <row r="1921" spans="1:5" ht="15" customHeight="1" x14ac:dyDescent="0.25">
      <c r="A1921">
        <v>820</v>
      </c>
      <c r="B1921" t="s">
        <v>154</v>
      </c>
      <c r="C1921">
        <v>767</v>
      </c>
      <c r="D1921" t="s">
        <v>149</v>
      </c>
      <c r="E1921">
        <v>6.98</v>
      </c>
    </row>
    <row r="1922" spans="1:5" ht="15" customHeight="1" x14ac:dyDescent="0.25">
      <c r="A1922">
        <v>820</v>
      </c>
      <c r="B1922" t="s">
        <v>154</v>
      </c>
      <c r="C1922">
        <v>795</v>
      </c>
      <c r="D1922" t="s">
        <v>150</v>
      </c>
      <c r="E1922">
        <v>2</v>
      </c>
    </row>
    <row r="1923" spans="1:5" ht="15" customHeight="1" x14ac:dyDescent="0.25">
      <c r="A1923">
        <v>820</v>
      </c>
      <c r="B1923" t="s">
        <v>154</v>
      </c>
      <c r="C1923">
        <v>798</v>
      </c>
      <c r="D1923" t="s">
        <v>151</v>
      </c>
      <c r="E1923">
        <v>1.24</v>
      </c>
    </row>
    <row r="1924" spans="1:5" ht="15" customHeight="1" x14ac:dyDescent="0.25">
      <c r="A1924">
        <v>820</v>
      </c>
      <c r="B1924" t="s">
        <v>154</v>
      </c>
      <c r="C1924">
        <v>799</v>
      </c>
      <c r="D1924" t="s">
        <v>152</v>
      </c>
      <c r="E1924">
        <v>3.95</v>
      </c>
    </row>
    <row r="1925" spans="1:5" ht="15" customHeight="1" x14ac:dyDescent="0.25">
      <c r="A1925">
        <v>820</v>
      </c>
      <c r="B1925" t="s">
        <v>154</v>
      </c>
      <c r="C1925">
        <v>811</v>
      </c>
      <c r="D1925" t="s">
        <v>153</v>
      </c>
      <c r="E1925">
        <v>9.0500000000000007</v>
      </c>
    </row>
    <row r="1926" spans="1:5" ht="15" customHeight="1" x14ac:dyDescent="0.25">
      <c r="A1926">
        <v>820</v>
      </c>
      <c r="B1926" t="s">
        <v>154</v>
      </c>
      <c r="C1926">
        <v>820</v>
      </c>
      <c r="D1926" t="s">
        <v>154</v>
      </c>
      <c r="E1926">
        <v>0</v>
      </c>
    </row>
    <row r="1927" spans="1:5" ht="15" customHeight="1" x14ac:dyDescent="0.25">
      <c r="A1927">
        <v>820</v>
      </c>
      <c r="B1927" t="s">
        <v>154</v>
      </c>
      <c r="C1927">
        <v>830</v>
      </c>
      <c r="D1927" t="s">
        <v>155</v>
      </c>
      <c r="E1927">
        <v>0.51</v>
      </c>
    </row>
    <row r="1928" spans="1:5" ht="15" customHeight="1" x14ac:dyDescent="0.25">
      <c r="A1928">
        <v>820</v>
      </c>
      <c r="B1928" t="s">
        <v>154</v>
      </c>
      <c r="C1928">
        <v>831</v>
      </c>
      <c r="D1928" t="s">
        <v>156</v>
      </c>
      <c r="E1928">
        <v>9</v>
      </c>
    </row>
    <row r="1929" spans="1:5" ht="15" customHeight="1" x14ac:dyDescent="0.25">
      <c r="A1929">
        <v>820</v>
      </c>
      <c r="B1929" t="s">
        <v>154</v>
      </c>
      <c r="C1929">
        <v>832</v>
      </c>
      <c r="D1929" t="s">
        <v>157</v>
      </c>
      <c r="E1929">
        <v>0.39</v>
      </c>
    </row>
    <row r="1930" spans="1:5" ht="15" customHeight="1" x14ac:dyDescent="0.25">
      <c r="A1930">
        <v>820</v>
      </c>
      <c r="B1930" t="s">
        <v>154</v>
      </c>
      <c r="C1930">
        <v>833</v>
      </c>
      <c r="D1930" t="s">
        <v>158</v>
      </c>
      <c r="E1930">
        <v>2.09</v>
      </c>
    </row>
    <row r="1931" spans="1:5" ht="15" customHeight="1" x14ac:dyDescent="0.25">
      <c r="A1931">
        <v>820</v>
      </c>
      <c r="B1931" t="s">
        <v>154</v>
      </c>
      <c r="C1931">
        <v>840</v>
      </c>
      <c r="D1931" t="s">
        <v>159</v>
      </c>
      <c r="E1931">
        <v>2.5499999999999998</v>
      </c>
    </row>
    <row r="1932" spans="1:5" ht="15" customHeight="1" x14ac:dyDescent="0.25">
      <c r="A1932">
        <v>820</v>
      </c>
      <c r="B1932" t="s">
        <v>154</v>
      </c>
      <c r="C1932">
        <v>841</v>
      </c>
      <c r="D1932" t="s">
        <v>160</v>
      </c>
      <c r="E1932">
        <v>2.19</v>
      </c>
    </row>
    <row r="1933" spans="1:5" ht="15" customHeight="1" x14ac:dyDescent="0.25">
      <c r="A1933">
        <v>820</v>
      </c>
      <c r="B1933" t="s">
        <v>154</v>
      </c>
      <c r="C1933">
        <v>842</v>
      </c>
      <c r="D1933" t="s">
        <v>161</v>
      </c>
      <c r="E1933">
        <v>6.61</v>
      </c>
    </row>
    <row r="1934" spans="1:5" ht="15" customHeight="1" x14ac:dyDescent="0.25">
      <c r="A1934">
        <v>820</v>
      </c>
      <c r="B1934" t="s">
        <v>154</v>
      </c>
      <c r="C1934">
        <v>847</v>
      </c>
      <c r="D1934" t="s">
        <v>162</v>
      </c>
      <c r="E1934">
        <v>2.64</v>
      </c>
    </row>
    <row r="1935" spans="1:5" ht="15" customHeight="1" x14ac:dyDescent="0.25">
      <c r="A1935">
        <v>820</v>
      </c>
      <c r="B1935" t="s">
        <v>154</v>
      </c>
      <c r="C1935">
        <v>877</v>
      </c>
      <c r="D1935" t="s">
        <v>163</v>
      </c>
      <c r="E1935">
        <v>21.15</v>
      </c>
    </row>
    <row r="1936" spans="1:5" ht="15" customHeight="1" x14ac:dyDescent="0.25">
      <c r="A1936">
        <v>820</v>
      </c>
      <c r="B1936" t="s">
        <v>154</v>
      </c>
      <c r="C1936">
        <v>898</v>
      </c>
      <c r="D1936" t="s">
        <v>164</v>
      </c>
      <c r="E1936">
        <v>5.38</v>
      </c>
    </row>
    <row r="1937" spans="1:5" ht="15" customHeight="1" x14ac:dyDescent="0.25">
      <c r="A1937">
        <v>820</v>
      </c>
      <c r="B1937" t="s">
        <v>154</v>
      </c>
      <c r="C1937">
        <v>899</v>
      </c>
      <c r="D1937" t="s">
        <v>165</v>
      </c>
      <c r="E1937">
        <v>7.56</v>
      </c>
    </row>
    <row r="1938" spans="1:5" ht="15" customHeight="1" x14ac:dyDescent="0.25">
      <c r="A1938">
        <v>820</v>
      </c>
      <c r="B1938" t="s">
        <v>154</v>
      </c>
      <c r="C1938">
        <v>1912</v>
      </c>
      <c r="D1938" t="s">
        <v>166</v>
      </c>
      <c r="E1938">
        <v>26.56</v>
      </c>
    </row>
    <row r="1939" spans="1:5" ht="15" customHeight="1" x14ac:dyDescent="0.25">
      <c r="A1939">
        <v>820</v>
      </c>
      <c r="B1939" t="s">
        <v>154</v>
      </c>
      <c r="C1939">
        <v>9999</v>
      </c>
      <c r="D1939" t="s">
        <v>117</v>
      </c>
      <c r="E1939">
        <v>3.36</v>
      </c>
    </row>
    <row r="1940" spans="1:5" ht="15" customHeight="1" x14ac:dyDescent="0.25">
      <c r="A1940">
        <v>830</v>
      </c>
      <c r="B1940" t="s">
        <v>155</v>
      </c>
      <c r="C1940">
        <v>1</v>
      </c>
      <c r="D1940" t="s">
        <v>117</v>
      </c>
      <c r="E1940">
        <v>3.67</v>
      </c>
    </row>
    <row r="1941" spans="1:5" ht="15" customHeight="1" x14ac:dyDescent="0.25">
      <c r="A1941">
        <v>830</v>
      </c>
      <c r="B1941" t="s">
        <v>155</v>
      </c>
      <c r="C1941">
        <v>3</v>
      </c>
      <c r="D1941" t="s">
        <v>118</v>
      </c>
      <c r="E1941">
        <v>59.29</v>
      </c>
    </row>
    <row r="1942" spans="1:5" ht="15" customHeight="1" x14ac:dyDescent="0.25">
      <c r="A1942">
        <v>830</v>
      </c>
      <c r="B1942" t="s">
        <v>155</v>
      </c>
      <c r="C1942">
        <v>5</v>
      </c>
      <c r="D1942" t="s">
        <v>119</v>
      </c>
      <c r="E1942">
        <v>106.92</v>
      </c>
    </row>
    <row r="1943" spans="1:5" ht="15" customHeight="1" x14ac:dyDescent="0.25">
      <c r="A1943">
        <v>830</v>
      </c>
      <c r="B1943" t="s">
        <v>155</v>
      </c>
      <c r="C1943">
        <v>11</v>
      </c>
      <c r="D1943" t="s">
        <v>120</v>
      </c>
      <c r="E1943">
        <v>84.4</v>
      </c>
    </row>
    <row r="1944" spans="1:5" ht="15" customHeight="1" x14ac:dyDescent="0.25">
      <c r="A1944">
        <v>830</v>
      </c>
      <c r="B1944" t="s">
        <v>155</v>
      </c>
      <c r="C1944">
        <v>12</v>
      </c>
      <c r="D1944" t="s">
        <v>121</v>
      </c>
      <c r="E1944">
        <v>58.28</v>
      </c>
    </row>
    <row r="1945" spans="1:5" ht="15" customHeight="1" x14ac:dyDescent="0.25">
      <c r="A1945">
        <v>830</v>
      </c>
      <c r="B1945" t="s">
        <v>155</v>
      </c>
      <c r="C1945">
        <v>29</v>
      </c>
      <c r="D1945" t="s">
        <v>122</v>
      </c>
      <c r="E1945">
        <v>117.91</v>
      </c>
    </row>
    <row r="1946" spans="1:5" ht="15" customHeight="1" x14ac:dyDescent="0.25">
      <c r="A1946">
        <v>830</v>
      </c>
      <c r="B1946" t="s">
        <v>155</v>
      </c>
      <c r="C1946">
        <v>70</v>
      </c>
      <c r="D1946" t="s">
        <v>123</v>
      </c>
      <c r="E1946">
        <v>85.17</v>
      </c>
    </row>
    <row r="1947" spans="1:5" ht="15" customHeight="1" x14ac:dyDescent="0.25">
      <c r="A1947">
        <v>830</v>
      </c>
      <c r="B1947" t="s">
        <v>155</v>
      </c>
      <c r="C1947">
        <v>71</v>
      </c>
      <c r="D1947" t="s">
        <v>124</v>
      </c>
      <c r="E1947">
        <v>128.18</v>
      </c>
    </row>
    <row r="1948" spans="1:5" ht="15" customHeight="1" x14ac:dyDescent="0.25">
      <c r="A1948">
        <v>830</v>
      </c>
      <c r="B1948" t="s">
        <v>155</v>
      </c>
      <c r="C1948">
        <v>384</v>
      </c>
      <c r="D1948" t="s">
        <v>125</v>
      </c>
      <c r="E1948">
        <v>3.37</v>
      </c>
    </row>
    <row r="1949" spans="1:5" ht="15" customHeight="1" x14ac:dyDescent="0.25">
      <c r="A1949">
        <v>830</v>
      </c>
      <c r="B1949" t="s">
        <v>155</v>
      </c>
      <c r="C1949">
        <v>429</v>
      </c>
      <c r="D1949" t="s">
        <v>126</v>
      </c>
      <c r="E1949">
        <v>72.13</v>
      </c>
    </row>
    <row r="1950" spans="1:5" ht="15" customHeight="1" x14ac:dyDescent="0.25">
      <c r="A1950">
        <v>830</v>
      </c>
      <c r="B1950" t="s">
        <v>155</v>
      </c>
      <c r="C1950">
        <v>486</v>
      </c>
      <c r="D1950" t="s">
        <v>127</v>
      </c>
      <c r="E1950">
        <v>69.62</v>
      </c>
    </row>
    <row r="1951" spans="1:5" ht="15" customHeight="1" x14ac:dyDescent="0.25">
      <c r="A1951">
        <v>830</v>
      </c>
      <c r="B1951" t="s">
        <v>155</v>
      </c>
      <c r="C1951">
        <v>546</v>
      </c>
      <c r="D1951" t="s">
        <v>128</v>
      </c>
      <c r="E1951">
        <v>74.08</v>
      </c>
    </row>
    <row r="1952" spans="1:5" ht="15" customHeight="1" x14ac:dyDescent="0.25">
      <c r="A1952">
        <v>830</v>
      </c>
      <c r="B1952" t="s">
        <v>155</v>
      </c>
      <c r="C1952">
        <v>599</v>
      </c>
      <c r="D1952" t="s">
        <v>129</v>
      </c>
      <c r="E1952">
        <v>7.78</v>
      </c>
    </row>
    <row r="1953" spans="1:5" ht="15" customHeight="1" x14ac:dyDescent="0.25">
      <c r="A1953">
        <v>830</v>
      </c>
      <c r="B1953" t="s">
        <v>155</v>
      </c>
      <c r="C1953">
        <v>620</v>
      </c>
      <c r="D1953" t="s">
        <v>130</v>
      </c>
      <c r="E1953">
        <v>41.23</v>
      </c>
    </row>
    <row r="1954" spans="1:5" ht="15" customHeight="1" x14ac:dyDescent="0.25">
      <c r="A1954">
        <v>830</v>
      </c>
      <c r="B1954" t="s">
        <v>155</v>
      </c>
      <c r="C1954">
        <v>626</v>
      </c>
      <c r="D1954" t="s">
        <v>131</v>
      </c>
      <c r="E1954">
        <v>3.94</v>
      </c>
    </row>
    <row r="1955" spans="1:5" ht="15" customHeight="1" x14ac:dyDescent="0.25">
      <c r="A1955">
        <v>830</v>
      </c>
      <c r="B1955" t="s">
        <v>155</v>
      </c>
      <c r="C1955">
        <v>627</v>
      </c>
      <c r="D1955" t="s">
        <v>132</v>
      </c>
      <c r="E1955">
        <v>7.01</v>
      </c>
    </row>
    <row r="1956" spans="1:5" ht="15" customHeight="1" x14ac:dyDescent="0.25">
      <c r="A1956">
        <v>830</v>
      </c>
      <c r="B1956" t="s">
        <v>155</v>
      </c>
      <c r="C1956">
        <v>651</v>
      </c>
      <c r="D1956" t="s">
        <v>133</v>
      </c>
      <c r="E1956">
        <v>3.56</v>
      </c>
    </row>
    <row r="1957" spans="1:5" ht="15" customHeight="1" x14ac:dyDescent="0.25">
      <c r="A1957">
        <v>830</v>
      </c>
      <c r="B1957" t="s">
        <v>155</v>
      </c>
      <c r="C1957">
        <v>668</v>
      </c>
      <c r="D1957" t="s">
        <v>134</v>
      </c>
      <c r="E1957">
        <v>5.72</v>
      </c>
    </row>
    <row r="1958" spans="1:5" ht="15" customHeight="1" x14ac:dyDescent="0.25">
      <c r="A1958">
        <v>830</v>
      </c>
      <c r="B1958" t="s">
        <v>155</v>
      </c>
      <c r="C1958">
        <v>681</v>
      </c>
      <c r="D1958" t="s">
        <v>135</v>
      </c>
      <c r="E1958">
        <v>1.22</v>
      </c>
    </row>
    <row r="1959" spans="1:5" ht="15" customHeight="1" x14ac:dyDescent="0.25">
      <c r="A1959">
        <v>830</v>
      </c>
      <c r="B1959" t="s">
        <v>155</v>
      </c>
      <c r="C1959">
        <v>682</v>
      </c>
      <c r="D1959" t="s">
        <v>136</v>
      </c>
      <c r="E1959">
        <v>4.33</v>
      </c>
    </row>
    <row r="1960" spans="1:5" ht="15" customHeight="1" x14ac:dyDescent="0.25">
      <c r="A1960">
        <v>830</v>
      </c>
      <c r="B1960" t="s">
        <v>155</v>
      </c>
      <c r="C1960">
        <v>683</v>
      </c>
      <c r="D1960" t="s">
        <v>137</v>
      </c>
      <c r="E1960">
        <v>3.79</v>
      </c>
    </row>
    <row r="1961" spans="1:5" ht="15" customHeight="1" x14ac:dyDescent="0.25">
      <c r="A1961">
        <v>830</v>
      </c>
      <c r="B1961" t="s">
        <v>155</v>
      </c>
      <c r="C1961">
        <v>684</v>
      </c>
      <c r="D1961" t="s">
        <v>138</v>
      </c>
      <c r="E1961">
        <v>3.17</v>
      </c>
    </row>
    <row r="1962" spans="1:5" ht="15" customHeight="1" x14ac:dyDescent="0.25">
      <c r="A1962">
        <v>830</v>
      </c>
      <c r="B1962" t="s">
        <v>155</v>
      </c>
      <c r="C1962">
        <v>685</v>
      </c>
      <c r="D1962" t="s">
        <v>139</v>
      </c>
      <c r="E1962">
        <v>1.83</v>
      </c>
    </row>
    <row r="1963" spans="1:5" ht="15" customHeight="1" x14ac:dyDescent="0.25">
      <c r="A1963">
        <v>830</v>
      </c>
      <c r="B1963" t="s">
        <v>155</v>
      </c>
      <c r="C1963">
        <v>691</v>
      </c>
      <c r="D1963" t="s">
        <v>140</v>
      </c>
      <c r="E1963">
        <v>0.77</v>
      </c>
    </row>
    <row r="1964" spans="1:5" ht="15" customHeight="1" x14ac:dyDescent="0.25">
      <c r="A1964">
        <v>830</v>
      </c>
      <c r="B1964" t="s">
        <v>155</v>
      </c>
      <c r="C1964">
        <v>706</v>
      </c>
      <c r="D1964" t="s">
        <v>141</v>
      </c>
      <c r="E1964">
        <v>3.58</v>
      </c>
    </row>
    <row r="1965" spans="1:5" ht="15" customHeight="1" x14ac:dyDescent="0.25">
      <c r="A1965">
        <v>830</v>
      </c>
      <c r="B1965" t="s">
        <v>155</v>
      </c>
      <c r="C1965">
        <v>713</v>
      </c>
      <c r="D1965" t="s">
        <v>142</v>
      </c>
      <c r="E1965">
        <v>4.88</v>
      </c>
    </row>
    <row r="1966" spans="1:5" ht="15" customHeight="1" x14ac:dyDescent="0.25">
      <c r="A1966">
        <v>830</v>
      </c>
      <c r="B1966" t="s">
        <v>155</v>
      </c>
      <c r="C1966">
        <v>718</v>
      </c>
      <c r="D1966" t="s">
        <v>143</v>
      </c>
      <c r="E1966">
        <v>6.05</v>
      </c>
    </row>
    <row r="1967" spans="1:5" ht="15" customHeight="1" x14ac:dyDescent="0.25">
      <c r="A1967">
        <v>830</v>
      </c>
      <c r="B1967" t="s">
        <v>155</v>
      </c>
      <c r="C1967">
        <v>731</v>
      </c>
      <c r="D1967" t="s">
        <v>144</v>
      </c>
      <c r="E1967">
        <v>31.12</v>
      </c>
    </row>
    <row r="1968" spans="1:5" ht="15" customHeight="1" x14ac:dyDescent="0.25">
      <c r="A1968">
        <v>830</v>
      </c>
      <c r="B1968" t="s">
        <v>155</v>
      </c>
      <c r="C1968">
        <v>743</v>
      </c>
      <c r="D1968" t="s">
        <v>145</v>
      </c>
      <c r="E1968">
        <v>11.55</v>
      </c>
    </row>
    <row r="1969" spans="1:5" ht="15" customHeight="1" x14ac:dyDescent="0.25">
      <c r="A1969">
        <v>830</v>
      </c>
      <c r="B1969" t="s">
        <v>155</v>
      </c>
      <c r="C1969">
        <v>760</v>
      </c>
      <c r="D1969" t="s">
        <v>146</v>
      </c>
      <c r="E1969">
        <v>1.2</v>
      </c>
    </row>
    <row r="1970" spans="1:5" ht="15" customHeight="1" x14ac:dyDescent="0.25">
      <c r="A1970">
        <v>830</v>
      </c>
      <c r="B1970" t="s">
        <v>155</v>
      </c>
      <c r="C1970">
        <v>765</v>
      </c>
      <c r="D1970" t="s">
        <v>147</v>
      </c>
      <c r="E1970">
        <v>4.78</v>
      </c>
    </row>
    <row r="1971" spans="1:5" ht="15" customHeight="1" x14ac:dyDescent="0.25">
      <c r="A1971">
        <v>830</v>
      </c>
      <c r="B1971" t="s">
        <v>155</v>
      </c>
      <c r="C1971">
        <v>766</v>
      </c>
      <c r="D1971" t="s">
        <v>148</v>
      </c>
      <c r="E1971">
        <v>4.96</v>
      </c>
    </row>
    <row r="1972" spans="1:5" ht="15" customHeight="1" x14ac:dyDescent="0.25">
      <c r="A1972">
        <v>830</v>
      </c>
      <c r="B1972" t="s">
        <v>155</v>
      </c>
      <c r="C1972">
        <v>767</v>
      </c>
      <c r="D1972" t="s">
        <v>149</v>
      </c>
      <c r="E1972">
        <v>6.74</v>
      </c>
    </row>
    <row r="1973" spans="1:5" ht="15" customHeight="1" x14ac:dyDescent="0.25">
      <c r="A1973">
        <v>830</v>
      </c>
      <c r="B1973" t="s">
        <v>155</v>
      </c>
      <c r="C1973">
        <v>795</v>
      </c>
      <c r="D1973" t="s">
        <v>150</v>
      </c>
      <c r="E1973">
        <v>2.35</v>
      </c>
    </row>
    <row r="1974" spans="1:5" ht="15" customHeight="1" x14ac:dyDescent="0.25">
      <c r="A1974">
        <v>830</v>
      </c>
      <c r="B1974" t="s">
        <v>155</v>
      </c>
      <c r="C1974">
        <v>798</v>
      </c>
      <c r="D1974" t="s">
        <v>151</v>
      </c>
      <c r="E1974">
        <v>0.88</v>
      </c>
    </row>
    <row r="1975" spans="1:5" ht="15" customHeight="1" x14ac:dyDescent="0.25">
      <c r="A1975">
        <v>830</v>
      </c>
      <c r="B1975" t="s">
        <v>155</v>
      </c>
      <c r="C1975">
        <v>799</v>
      </c>
      <c r="D1975" t="s">
        <v>152</v>
      </c>
      <c r="E1975">
        <v>4.47</v>
      </c>
    </row>
    <row r="1976" spans="1:5" ht="15" customHeight="1" x14ac:dyDescent="0.25">
      <c r="A1976">
        <v>830</v>
      </c>
      <c r="B1976" t="s">
        <v>155</v>
      </c>
      <c r="C1976">
        <v>811</v>
      </c>
      <c r="D1976" t="s">
        <v>153</v>
      </c>
      <c r="E1976">
        <v>9.2899999999999991</v>
      </c>
    </row>
    <row r="1977" spans="1:5" ht="15" customHeight="1" x14ac:dyDescent="0.25">
      <c r="A1977">
        <v>830</v>
      </c>
      <c r="B1977" t="s">
        <v>155</v>
      </c>
      <c r="C1977">
        <v>820</v>
      </c>
      <c r="D1977" t="s">
        <v>154</v>
      </c>
      <c r="E1977">
        <v>0.51</v>
      </c>
    </row>
    <row r="1978" spans="1:5" ht="15" customHeight="1" x14ac:dyDescent="0.25">
      <c r="A1978">
        <v>830</v>
      </c>
      <c r="B1978" t="s">
        <v>155</v>
      </c>
      <c r="C1978">
        <v>830</v>
      </c>
      <c r="D1978" t="s">
        <v>155</v>
      </c>
      <c r="E1978">
        <v>0</v>
      </c>
    </row>
    <row r="1979" spans="1:5" ht="15" customHeight="1" x14ac:dyDescent="0.25">
      <c r="A1979">
        <v>830</v>
      </c>
      <c r="B1979" t="s">
        <v>155</v>
      </c>
      <c r="C1979">
        <v>831</v>
      </c>
      <c r="D1979" t="s">
        <v>156</v>
      </c>
      <c r="E1979">
        <v>9.52</v>
      </c>
    </row>
    <row r="1980" spans="1:5" ht="15" customHeight="1" x14ac:dyDescent="0.25">
      <c r="A1980">
        <v>830</v>
      </c>
      <c r="B1980" t="s">
        <v>155</v>
      </c>
      <c r="C1980">
        <v>832</v>
      </c>
      <c r="D1980" t="s">
        <v>157</v>
      </c>
      <c r="E1980">
        <v>0.78</v>
      </c>
    </row>
    <row r="1981" spans="1:5" ht="15" customHeight="1" x14ac:dyDescent="0.25">
      <c r="A1981">
        <v>830</v>
      </c>
      <c r="B1981" t="s">
        <v>155</v>
      </c>
      <c r="C1981">
        <v>833</v>
      </c>
      <c r="D1981" t="s">
        <v>158</v>
      </c>
      <c r="E1981">
        <v>2.58</v>
      </c>
    </row>
    <row r="1982" spans="1:5" ht="15" customHeight="1" x14ac:dyDescent="0.25">
      <c r="A1982">
        <v>830</v>
      </c>
      <c r="B1982" t="s">
        <v>155</v>
      </c>
      <c r="C1982">
        <v>840</v>
      </c>
      <c r="D1982" t="s">
        <v>159</v>
      </c>
      <c r="E1982">
        <v>2.58</v>
      </c>
    </row>
    <row r="1983" spans="1:5" ht="15" customHeight="1" x14ac:dyDescent="0.25">
      <c r="A1983">
        <v>830</v>
      </c>
      <c r="B1983" t="s">
        <v>155</v>
      </c>
      <c r="C1983">
        <v>841</v>
      </c>
      <c r="D1983" t="s">
        <v>160</v>
      </c>
      <c r="E1983">
        <v>2.25</v>
      </c>
    </row>
    <row r="1984" spans="1:5" ht="15" customHeight="1" x14ac:dyDescent="0.25">
      <c r="A1984">
        <v>830</v>
      </c>
      <c r="B1984" t="s">
        <v>155</v>
      </c>
      <c r="C1984">
        <v>842</v>
      </c>
      <c r="D1984" t="s">
        <v>161</v>
      </c>
      <c r="E1984">
        <v>7</v>
      </c>
    </row>
    <row r="1985" spans="1:5" ht="15" customHeight="1" x14ac:dyDescent="0.25">
      <c r="A1985">
        <v>830</v>
      </c>
      <c r="B1985" t="s">
        <v>155</v>
      </c>
      <c r="C1985">
        <v>847</v>
      </c>
      <c r="D1985" t="s">
        <v>162</v>
      </c>
      <c r="E1985">
        <v>2.65</v>
      </c>
    </row>
    <row r="1986" spans="1:5" ht="15" customHeight="1" x14ac:dyDescent="0.25">
      <c r="A1986">
        <v>830</v>
      </c>
      <c r="B1986" t="s">
        <v>155</v>
      </c>
      <c r="C1986">
        <v>877</v>
      </c>
      <c r="D1986" t="s">
        <v>163</v>
      </c>
      <c r="E1986">
        <v>21.62</v>
      </c>
    </row>
    <row r="1987" spans="1:5" ht="15" customHeight="1" x14ac:dyDescent="0.25">
      <c r="A1987">
        <v>830</v>
      </c>
      <c r="B1987" t="s">
        <v>155</v>
      </c>
      <c r="C1987">
        <v>898</v>
      </c>
      <c r="D1987" t="s">
        <v>164</v>
      </c>
      <c r="E1987">
        <v>5.89</v>
      </c>
    </row>
    <row r="1988" spans="1:5" ht="15" customHeight="1" x14ac:dyDescent="0.25">
      <c r="A1988">
        <v>830</v>
      </c>
      <c r="B1988" t="s">
        <v>155</v>
      </c>
      <c r="C1988">
        <v>899</v>
      </c>
      <c r="D1988" t="s">
        <v>165</v>
      </c>
      <c r="E1988">
        <v>7.84</v>
      </c>
    </row>
    <row r="1989" spans="1:5" ht="15" customHeight="1" x14ac:dyDescent="0.25">
      <c r="A1989">
        <v>830</v>
      </c>
      <c r="B1989" t="s">
        <v>155</v>
      </c>
      <c r="C1989">
        <v>1912</v>
      </c>
      <c r="D1989" t="s">
        <v>166</v>
      </c>
      <c r="E1989">
        <v>27.04</v>
      </c>
    </row>
    <row r="1990" spans="1:5" ht="15" customHeight="1" x14ac:dyDescent="0.25">
      <c r="A1990">
        <v>830</v>
      </c>
      <c r="B1990" t="s">
        <v>155</v>
      </c>
      <c r="C1990">
        <v>9999</v>
      </c>
      <c r="D1990" t="s">
        <v>117</v>
      </c>
      <c r="E1990">
        <v>3.67</v>
      </c>
    </row>
    <row r="1991" spans="1:5" ht="15" customHeight="1" x14ac:dyDescent="0.25">
      <c r="A1991">
        <v>831</v>
      </c>
      <c r="B1991" t="s">
        <v>156</v>
      </c>
      <c r="C1991">
        <v>1</v>
      </c>
      <c r="D1991" t="s">
        <v>117</v>
      </c>
      <c r="E1991">
        <v>7.41</v>
      </c>
    </row>
    <row r="1992" spans="1:5" ht="15" customHeight="1" x14ac:dyDescent="0.25">
      <c r="A1992">
        <v>831</v>
      </c>
      <c r="B1992" t="s">
        <v>156</v>
      </c>
      <c r="C1992">
        <v>3</v>
      </c>
      <c r="D1992" t="s">
        <v>118</v>
      </c>
      <c r="E1992">
        <v>51.29</v>
      </c>
    </row>
    <row r="1993" spans="1:5" ht="15" customHeight="1" x14ac:dyDescent="0.25">
      <c r="A1993">
        <v>831</v>
      </c>
      <c r="B1993" t="s">
        <v>156</v>
      </c>
      <c r="C1993">
        <v>5</v>
      </c>
      <c r="D1993" t="s">
        <v>119</v>
      </c>
      <c r="E1993">
        <v>98.54</v>
      </c>
    </row>
    <row r="1994" spans="1:5" ht="15" customHeight="1" x14ac:dyDescent="0.25">
      <c r="A1994">
        <v>831</v>
      </c>
      <c r="B1994" t="s">
        <v>156</v>
      </c>
      <c r="C1994">
        <v>11</v>
      </c>
      <c r="D1994" t="s">
        <v>120</v>
      </c>
      <c r="E1994">
        <v>80.27</v>
      </c>
    </row>
    <row r="1995" spans="1:5" ht="15" customHeight="1" x14ac:dyDescent="0.25">
      <c r="A1995">
        <v>831</v>
      </c>
      <c r="B1995" t="s">
        <v>156</v>
      </c>
      <c r="C1995">
        <v>12</v>
      </c>
      <c r="D1995" t="s">
        <v>121</v>
      </c>
      <c r="E1995">
        <v>49.86</v>
      </c>
    </row>
    <row r="1996" spans="1:5" ht="15" customHeight="1" x14ac:dyDescent="0.25">
      <c r="A1996">
        <v>831</v>
      </c>
      <c r="B1996" t="s">
        <v>156</v>
      </c>
      <c r="C1996">
        <v>29</v>
      </c>
      <c r="D1996" t="s">
        <v>122</v>
      </c>
      <c r="E1996">
        <v>127.33</v>
      </c>
    </row>
    <row r="1997" spans="1:5" ht="15" customHeight="1" x14ac:dyDescent="0.25">
      <c r="A1997">
        <v>831</v>
      </c>
      <c r="B1997" t="s">
        <v>156</v>
      </c>
      <c r="C1997">
        <v>70</v>
      </c>
      <c r="D1997" t="s">
        <v>123</v>
      </c>
      <c r="E1997">
        <v>79.7</v>
      </c>
    </row>
    <row r="1998" spans="1:5" ht="15" customHeight="1" x14ac:dyDescent="0.25">
      <c r="A1998">
        <v>831</v>
      </c>
      <c r="B1998" t="s">
        <v>156</v>
      </c>
      <c r="C1998">
        <v>71</v>
      </c>
      <c r="D1998" t="s">
        <v>124</v>
      </c>
      <c r="E1998">
        <v>128.79</v>
      </c>
    </row>
    <row r="1999" spans="1:5" ht="15" customHeight="1" x14ac:dyDescent="0.25">
      <c r="A1999">
        <v>831</v>
      </c>
      <c r="B1999" t="s">
        <v>156</v>
      </c>
      <c r="C1999">
        <v>384</v>
      </c>
      <c r="D1999" t="s">
        <v>125</v>
      </c>
      <c r="E1999">
        <v>8.2799999999999994</v>
      </c>
    </row>
    <row r="2000" spans="1:5" ht="15" customHeight="1" x14ac:dyDescent="0.25">
      <c r="A2000">
        <v>831</v>
      </c>
      <c r="B2000" t="s">
        <v>156</v>
      </c>
      <c r="C2000">
        <v>429</v>
      </c>
      <c r="D2000" t="s">
        <v>126</v>
      </c>
      <c r="E2000">
        <v>72.83</v>
      </c>
    </row>
    <row r="2001" spans="1:5" ht="15" customHeight="1" x14ac:dyDescent="0.25">
      <c r="A2001">
        <v>831</v>
      </c>
      <c r="B2001" t="s">
        <v>156</v>
      </c>
      <c r="C2001">
        <v>486</v>
      </c>
      <c r="D2001" t="s">
        <v>127</v>
      </c>
      <c r="E2001">
        <v>60.34</v>
      </c>
    </row>
    <row r="2002" spans="1:5" ht="15" customHeight="1" x14ac:dyDescent="0.25">
      <c r="A2002">
        <v>831</v>
      </c>
      <c r="B2002" t="s">
        <v>156</v>
      </c>
      <c r="C2002">
        <v>546</v>
      </c>
      <c r="D2002" t="s">
        <v>128</v>
      </c>
      <c r="E2002">
        <v>65.06</v>
      </c>
    </row>
    <row r="2003" spans="1:5" ht="15" customHeight="1" x14ac:dyDescent="0.25">
      <c r="A2003">
        <v>831</v>
      </c>
      <c r="B2003" t="s">
        <v>156</v>
      </c>
      <c r="C2003">
        <v>599</v>
      </c>
      <c r="D2003" t="s">
        <v>129</v>
      </c>
      <c r="E2003">
        <v>2.39</v>
      </c>
    </row>
    <row r="2004" spans="1:5" ht="15" customHeight="1" x14ac:dyDescent="0.25">
      <c r="A2004">
        <v>831</v>
      </c>
      <c r="B2004" t="s">
        <v>156</v>
      </c>
      <c r="C2004">
        <v>620</v>
      </c>
      <c r="D2004" t="s">
        <v>130</v>
      </c>
      <c r="E2004">
        <v>48.58</v>
      </c>
    </row>
    <row r="2005" spans="1:5" ht="15" customHeight="1" x14ac:dyDescent="0.25">
      <c r="A2005">
        <v>831</v>
      </c>
      <c r="B2005" t="s">
        <v>156</v>
      </c>
      <c r="C2005">
        <v>626</v>
      </c>
      <c r="D2005" t="s">
        <v>131</v>
      </c>
      <c r="E2005">
        <v>5.66</v>
      </c>
    </row>
    <row r="2006" spans="1:5" ht="15" customHeight="1" x14ac:dyDescent="0.25">
      <c r="A2006">
        <v>831</v>
      </c>
      <c r="B2006" t="s">
        <v>156</v>
      </c>
      <c r="C2006">
        <v>627</v>
      </c>
      <c r="D2006" t="s">
        <v>132</v>
      </c>
      <c r="E2006">
        <v>11.62</v>
      </c>
    </row>
    <row r="2007" spans="1:5" ht="15" customHeight="1" x14ac:dyDescent="0.25">
      <c r="A2007">
        <v>831</v>
      </c>
      <c r="B2007" t="s">
        <v>156</v>
      </c>
      <c r="C2007">
        <v>651</v>
      </c>
      <c r="D2007" t="s">
        <v>133</v>
      </c>
      <c r="E2007">
        <v>9.9</v>
      </c>
    </row>
    <row r="2008" spans="1:5" ht="15" customHeight="1" x14ac:dyDescent="0.25">
      <c r="A2008">
        <v>831</v>
      </c>
      <c r="B2008" t="s">
        <v>156</v>
      </c>
      <c r="C2008">
        <v>668</v>
      </c>
      <c r="D2008" t="s">
        <v>134</v>
      </c>
      <c r="E2008">
        <v>4.18</v>
      </c>
    </row>
    <row r="2009" spans="1:5" ht="15" customHeight="1" x14ac:dyDescent="0.25">
      <c r="A2009">
        <v>831</v>
      </c>
      <c r="B2009" t="s">
        <v>156</v>
      </c>
      <c r="C2009">
        <v>681</v>
      </c>
      <c r="D2009" t="s">
        <v>135</v>
      </c>
      <c r="E2009">
        <v>9.93</v>
      </c>
    </row>
    <row r="2010" spans="1:5" ht="15" customHeight="1" x14ac:dyDescent="0.25">
      <c r="A2010">
        <v>831</v>
      </c>
      <c r="B2010" t="s">
        <v>156</v>
      </c>
      <c r="C2010">
        <v>682</v>
      </c>
      <c r="D2010" t="s">
        <v>136</v>
      </c>
      <c r="E2010">
        <v>7.34</v>
      </c>
    </row>
    <row r="2011" spans="1:5" ht="15" customHeight="1" x14ac:dyDescent="0.25">
      <c r="A2011">
        <v>831</v>
      </c>
      <c r="B2011" t="s">
        <v>156</v>
      </c>
      <c r="C2011">
        <v>683</v>
      </c>
      <c r="D2011" t="s">
        <v>137</v>
      </c>
      <c r="E2011">
        <v>7.85</v>
      </c>
    </row>
    <row r="2012" spans="1:5" ht="15" customHeight="1" x14ac:dyDescent="0.25">
      <c r="A2012">
        <v>831</v>
      </c>
      <c r="B2012" t="s">
        <v>156</v>
      </c>
      <c r="C2012">
        <v>684</v>
      </c>
      <c r="D2012" t="s">
        <v>138</v>
      </c>
      <c r="E2012">
        <v>6.75</v>
      </c>
    </row>
    <row r="2013" spans="1:5" ht="15" customHeight="1" x14ac:dyDescent="0.25">
      <c r="A2013">
        <v>831</v>
      </c>
      <c r="B2013" t="s">
        <v>156</v>
      </c>
      <c r="C2013">
        <v>685</v>
      </c>
      <c r="D2013" t="s">
        <v>139</v>
      </c>
      <c r="E2013">
        <v>8.34</v>
      </c>
    </row>
    <row r="2014" spans="1:5" ht="15" customHeight="1" x14ac:dyDescent="0.25">
      <c r="A2014">
        <v>831</v>
      </c>
      <c r="B2014" t="s">
        <v>156</v>
      </c>
      <c r="C2014">
        <v>691</v>
      </c>
      <c r="D2014" t="s">
        <v>140</v>
      </c>
      <c r="E2014">
        <v>9.59</v>
      </c>
    </row>
    <row r="2015" spans="1:5" ht="15" customHeight="1" x14ac:dyDescent="0.25">
      <c r="A2015">
        <v>831</v>
      </c>
      <c r="B2015" t="s">
        <v>156</v>
      </c>
      <c r="C2015">
        <v>706</v>
      </c>
      <c r="D2015" t="s">
        <v>141</v>
      </c>
      <c r="E2015">
        <v>9.44</v>
      </c>
    </row>
    <row r="2016" spans="1:5" ht="15" customHeight="1" x14ac:dyDescent="0.25">
      <c r="A2016">
        <v>831</v>
      </c>
      <c r="B2016" t="s">
        <v>156</v>
      </c>
      <c r="C2016">
        <v>713</v>
      </c>
      <c r="D2016" t="s">
        <v>142</v>
      </c>
      <c r="E2016">
        <v>5.73</v>
      </c>
    </row>
    <row r="2017" spans="1:5" ht="15" customHeight="1" x14ac:dyDescent="0.25">
      <c r="A2017">
        <v>831</v>
      </c>
      <c r="B2017" t="s">
        <v>156</v>
      </c>
      <c r="C2017">
        <v>718</v>
      </c>
      <c r="D2017" t="s">
        <v>143</v>
      </c>
      <c r="E2017">
        <v>9.1999999999999993</v>
      </c>
    </row>
    <row r="2018" spans="1:5" ht="15" customHeight="1" x14ac:dyDescent="0.25">
      <c r="A2018">
        <v>831</v>
      </c>
      <c r="B2018" t="s">
        <v>156</v>
      </c>
      <c r="C2018">
        <v>731</v>
      </c>
      <c r="D2018" t="s">
        <v>144</v>
      </c>
      <c r="E2018">
        <v>23.33</v>
      </c>
    </row>
    <row r="2019" spans="1:5" ht="15" customHeight="1" x14ac:dyDescent="0.25">
      <c r="A2019">
        <v>831</v>
      </c>
      <c r="B2019" t="s">
        <v>156</v>
      </c>
      <c r="C2019">
        <v>743</v>
      </c>
      <c r="D2019" t="s">
        <v>145</v>
      </c>
      <c r="E2019">
        <v>16.46</v>
      </c>
    </row>
    <row r="2020" spans="1:5" ht="15" customHeight="1" x14ac:dyDescent="0.25">
      <c r="A2020">
        <v>831</v>
      </c>
      <c r="B2020" t="s">
        <v>156</v>
      </c>
      <c r="C2020">
        <v>760</v>
      </c>
      <c r="D2020" t="s">
        <v>146</v>
      </c>
      <c r="E2020">
        <v>8.6999999999999993</v>
      </c>
    </row>
    <row r="2021" spans="1:5" ht="15" customHeight="1" x14ac:dyDescent="0.25">
      <c r="A2021">
        <v>831</v>
      </c>
      <c r="B2021" t="s">
        <v>156</v>
      </c>
      <c r="C2021">
        <v>765</v>
      </c>
      <c r="D2021" t="s">
        <v>147</v>
      </c>
      <c r="E2021">
        <v>5.08</v>
      </c>
    </row>
    <row r="2022" spans="1:5" ht="15" customHeight="1" x14ac:dyDescent="0.25">
      <c r="A2022">
        <v>831</v>
      </c>
      <c r="B2022" t="s">
        <v>156</v>
      </c>
      <c r="C2022">
        <v>766</v>
      </c>
      <c r="D2022" t="s">
        <v>148</v>
      </c>
      <c r="E2022">
        <v>8.3800000000000008</v>
      </c>
    </row>
    <row r="2023" spans="1:5" ht="15" customHeight="1" x14ac:dyDescent="0.25">
      <c r="A2023">
        <v>831</v>
      </c>
      <c r="B2023" t="s">
        <v>156</v>
      </c>
      <c r="C2023">
        <v>767</v>
      </c>
      <c r="D2023" t="s">
        <v>149</v>
      </c>
      <c r="E2023">
        <v>13.59</v>
      </c>
    </row>
    <row r="2024" spans="1:5" ht="15" customHeight="1" x14ac:dyDescent="0.25">
      <c r="A2024">
        <v>831</v>
      </c>
      <c r="B2024" t="s">
        <v>156</v>
      </c>
      <c r="C2024">
        <v>795</v>
      </c>
      <c r="D2024" t="s">
        <v>150</v>
      </c>
      <c r="E2024">
        <v>7.79</v>
      </c>
    </row>
    <row r="2025" spans="1:5" ht="15" customHeight="1" x14ac:dyDescent="0.25">
      <c r="A2025">
        <v>831</v>
      </c>
      <c r="B2025" t="s">
        <v>156</v>
      </c>
      <c r="C2025">
        <v>798</v>
      </c>
      <c r="D2025" t="s">
        <v>151</v>
      </c>
      <c r="E2025">
        <v>10.08</v>
      </c>
    </row>
    <row r="2026" spans="1:5" ht="15" customHeight="1" x14ac:dyDescent="0.25">
      <c r="A2026">
        <v>831</v>
      </c>
      <c r="B2026" t="s">
        <v>156</v>
      </c>
      <c r="C2026">
        <v>799</v>
      </c>
      <c r="D2026" t="s">
        <v>152</v>
      </c>
      <c r="E2026">
        <v>5.05</v>
      </c>
    </row>
    <row r="2027" spans="1:5" ht="15" customHeight="1" x14ac:dyDescent="0.25">
      <c r="A2027">
        <v>831</v>
      </c>
      <c r="B2027" t="s">
        <v>156</v>
      </c>
      <c r="C2027">
        <v>811</v>
      </c>
      <c r="D2027" t="s">
        <v>153</v>
      </c>
      <c r="E2027">
        <v>8.92</v>
      </c>
    </row>
    <row r="2028" spans="1:5" ht="15" customHeight="1" x14ac:dyDescent="0.25">
      <c r="A2028">
        <v>831</v>
      </c>
      <c r="B2028" t="s">
        <v>156</v>
      </c>
      <c r="C2028">
        <v>820</v>
      </c>
      <c r="D2028" t="s">
        <v>154</v>
      </c>
      <c r="E2028">
        <v>9</v>
      </c>
    </row>
    <row r="2029" spans="1:5" ht="15" customHeight="1" x14ac:dyDescent="0.25">
      <c r="A2029">
        <v>831</v>
      </c>
      <c r="B2029" t="s">
        <v>156</v>
      </c>
      <c r="C2029">
        <v>830</v>
      </c>
      <c r="D2029" t="s">
        <v>155</v>
      </c>
      <c r="E2029">
        <v>9.52</v>
      </c>
    </row>
    <row r="2030" spans="1:5" ht="15" customHeight="1" x14ac:dyDescent="0.25">
      <c r="A2030">
        <v>831</v>
      </c>
      <c r="B2030" t="s">
        <v>156</v>
      </c>
      <c r="C2030">
        <v>831</v>
      </c>
      <c r="D2030" t="s">
        <v>156</v>
      </c>
      <c r="E2030">
        <v>0</v>
      </c>
    </row>
    <row r="2031" spans="1:5" ht="15" customHeight="1" x14ac:dyDescent="0.25">
      <c r="A2031">
        <v>831</v>
      </c>
      <c r="B2031" t="s">
        <v>156</v>
      </c>
      <c r="C2031">
        <v>832</v>
      </c>
      <c r="D2031" t="s">
        <v>157</v>
      </c>
      <c r="E2031">
        <v>8.85</v>
      </c>
    </row>
    <row r="2032" spans="1:5" ht="15" customHeight="1" x14ac:dyDescent="0.25">
      <c r="A2032">
        <v>831</v>
      </c>
      <c r="B2032" t="s">
        <v>156</v>
      </c>
      <c r="C2032">
        <v>833</v>
      </c>
      <c r="D2032" t="s">
        <v>158</v>
      </c>
      <c r="E2032">
        <v>7.04</v>
      </c>
    </row>
    <row r="2033" spans="1:5" ht="15" customHeight="1" x14ac:dyDescent="0.25">
      <c r="A2033">
        <v>831</v>
      </c>
      <c r="B2033" t="s">
        <v>156</v>
      </c>
      <c r="C2033">
        <v>840</v>
      </c>
      <c r="D2033" t="s">
        <v>159</v>
      </c>
      <c r="E2033">
        <v>9.6</v>
      </c>
    </row>
    <row r="2034" spans="1:5" ht="15" customHeight="1" x14ac:dyDescent="0.25">
      <c r="A2034">
        <v>831</v>
      </c>
      <c r="B2034" t="s">
        <v>156</v>
      </c>
      <c r="C2034">
        <v>841</v>
      </c>
      <c r="D2034" t="s">
        <v>160</v>
      </c>
      <c r="E2034">
        <v>9.1</v>
      </c>
    </row>
    <row r="2035" spans="1:5" ht="15" customHeight="1" x14ac:dyDescent="0.25">
      <c r="A2035">
        <v>831</v>
      </c>
      <c r="B2035" t="s">
        <v>156</v>
      </c>
      <c r="C2035">
        <v>842</v>
      </c>
      <c r="D2035" t="s">
        <v>161</v>
      </c>
      <c r="E2035">
        <v>5.57</v>
      </c>
    </row>
    <row r="2036" spans="1:5" ht="15" customHeight="1" x14ac:dyDescent="0.25">
      <c r="A2036">
        <v>831</v>
      </c>
      <c r="B2036" t="s">
        <v>156</v>
      </c>
      <c r="C2036">
        <v>847</v>
      </c>
      <c r="D2036" t="s">
        <v>162</v>
      </c>
      <c r="E2036">
        <v>9.43</v>
      </c>
    </row>
    <row r="2037" spans="1:5" ht="15" customHeight="1" x14ac:dyDescent="0.25">
      <c r="A2037">
        <v>831</v>
      </c>
      <c r="B2037" t="s">
        <v>156</v>
      </c>
      <c r="C2037">
        <v>877</v>
      </c>
      <c r="D2037" t="s">
        <v>163</v>
      </c>
      <c r="E2037">
        <v>14.04</v>
      </c>
    </row>
    <row r="2038" spans="1:5" ht="15" customHeight="1" x14ac:dyDescent="0.25">
      <c r="A2038">
        <v>831</v>
      </c>
      <c r="B2038" t="s">
        <v>156</v>
      </c>
      <c r="C2038">
        <v>898</v>
      </c>
      <c r="D2038" t="s">
        <v>164</v>
      </c>
      <c r="E2038">
        <v>3.63</v>
      </c>
    </row>
    <row r="2039" spans="1:5" ht="15" customHeight="1" x14ac:dyDescent="0.25">
      <c r="A2039">
        <v>831</v>
      </c>
      <c r="B2039" t="s">
        <v>156</v>
      </c>
      <c r="C2039">
        <v>899</v>
      </c>
      <c r="D2039" t="s">
        <v>165</v>
      </c>
      <c r="E2039">
        <v>7.64</v>
      </c>
    </row>
    <row r="2040" spans="1:5" ht="15" customHeight="1" x14ac:dyDescent="0.25">
      <c r="A2040">
        <v>831</v>
      </c>
      <c r="B2040" t="s">
        <v>156</v>
      </c>
      <c r="C2040">
        <v>1912</v>
      </c>
      <c r="D2040" t="s">
        <v>166</v>
      </c>
      <c r="E2040">
        <v>18.64</v>
      </c>
    </row>
    <row r="2041" spans="1:5" ht="15" customHeight="1" x14ac:dyDescent="0.25">
      <c r="A2041">
        <v>831</v>
      </c>
      <c r="B2041" t="s">
        <v>156</v>
      </c>
      <c r="C2041">
        <v>9999</v>
      </c>
      <c r="D2041" t="s">
        <v>117</v>
      </c>
      <c r="E2041">
        <v>7.41</v>
      </c>
    </row>
    <row r="2042" spans="1:5" ht="15" customHeight="1" x14ac:dyDescent="0.25">
      <c r="A2042">
        <v>832</v>
      </c>
      <c r="B2042" t="s">
        <v>157</v>
      </c>
      <c r="C2042">
        <v>1</v>
      </c>
      <c r="D2042" t="s">
        <v>117</v>
      </c>
      <c r="E2042">
        <v>3.56</v>
      </c>
    </row>
    <row r="2043" spans="1:5" ht="15" customHeight="1" x14ac:dyDescent="0.25">
      <c r="A2043">
        <v>832</v>
      </c>
      <c r="B2043" t="s">
        <v>157</v>
      </c>
      <c r="C2043">
        <v>3</v>
      </c>
      <c r="D2043" t="s">
        <v>118</v>
      </c>
      <c r="E2043">
        <v>58.51</v>
      </c>
    </row>
    <row r="2044" spans="1:5" ht="15" customHeight="1" x14ac:dyDescent="0.25">
      <c r="A2044">
        <v>832</v>
      </c>
      <c r="B2044" t="s">
        <v>157</v>
      </c>
      <c r="C2044">
        <v>5</v>
      </c>
      <c r="D2044" t="s">
        <v>119</v>
      </c>
      <c r="E2044">
        <v>106.14</v>
      </c>
    </row>
    <row r="2045" spans="1:5" ht="15" customHeight="1" x14ac:dyDescent="0.25">
      <c r="A2045">
        <v>832</v>
      </c>
      <c r="B2045" t="s">
        <v>157</v>
      </c>
      <c r="C2045">
        <v>11</v>
      </c>
      <c r="D2045" t="s">
        <v>120</v>
      </c>
      <c r="E2045">
        <v>83.73</v>
      </c>
    </row>
    <row r="2046" spans="1:5" ht="15" customHeight="1" x14ac:dyDescent="0.25">
      <c r="A2046">
        <v>832</v>
      </c>
      <c r="B2046" t="s">
        <v>157</v>
      </c>
      <c r="C2046">
        <v>12</v>
      </c>
      <c r="D2046" t="s">
        <v>121</v>
      </c>
      <c r="E2046">
        <v>57.85</v>
      </c>
    </row>
    <row r="2047" spans="1:5" ht="15" customHeight="1" x14ac:dyDescent="0.25">
      <c r="A2047">
        <v>832</v>
      </c>
      <c r="B2047" t="s">
        <v>157</v>
      </c>
      <c r="C2047">
        <v>29</v>
      </c>
      <c r="D2047" t="s">
        <v>122</v>
      </c>
      <c r="E2047">
        <v>118.52</v>
      </c>
    </row>
    <row r="2048" spans="1:5" ht="15" customHeight="1" x14ac:dyDescent="0.25">
      <c r="A2048">
        <v>832</v>
      </c>
      <c r="B2048" t="s">
        <v>157</v>
      </c>
      <c r="C2048">
        <v>70</v>
      </c>
      <c r="D2048" t="s">
        <v>123</v>
      </c>
      <c r="E2048">
        <v>85.07</v>
      </c>
    </row>
    <row r="2049" spans="1:5" ht="15" customHeight="1" x14ac:dyDescent="0.25">
      <c r="A2049">
        <v>832</v>
      </c>
      <c r="B2049" t="s">
        <v>157</v>
      </c>
      <c r="C2049">
        <v>71</v>
      </c>
      <c r="D2049" t="s">
        <v>124</v>
      </c>
      <c r="E2049">
        <v>128.6</v>
      </c>
    </row>
    <row r="2050" spans="1:5" ht="15" customHeight="1" x14ac:dyDescent="0.25">
      <c r="A2050">
        <v>832</v>
      </c>
      <c r="B2050" t="s">
        <v>157</v>
      </c>
      <c r="C2050">
        <v>384</v>
      </c>
      <c r="D2050" t="s">
        <v>125</v>
      </c>
      <c r="E2050">
        <v>3.44</v>
      </c>
    </row>
    <row r="2051" spans="1:5" ht="15" customHeight="1" x14ac:dyDescent="0.25">
      <c r="A2051">
        <v>832</v>
      </c>
      <c r="B2051" t="s">
        <v>157</v>
      </c>
      <c r="C2051">
        <v>429</v>
      </c>
      <c r="D2051" t="s">
        <v>126</v>
      </c>
      <c r="E2051">
        <v>72.53</v>
      </c>
    </row>
    <row r="2052" spans="1:5" ht="15" customHeight="1" x14ac:dyDescent="0.25">
      <c r="A2052">
        <v>832</v>
      </c>
      <c r="B2052" t="s">
        <v>157</v>
      </c>
      <c r="C2052">
        <v>486</v>
      </c>
      <c r="D2052" t="s">
        <v>127</v>
      </c>
      <c r="E2052">
        <v>69.040000000000006</v>
      </c>
    </row>
    <row r="2053" spans="1:5" ht="15" customHeight="1" x14ac:dyDescent="0.25">
      <c r="A2053">
        <v>832</v>
      </c>
      <c r="B2053" t="s">
        <v>157</v>
      </c>
      <c r="C2053">
        <v>546</v>
      </c>
      <c r="D2053" t="s">
        <v>128</v>
      </c>
      <c r="E2053">
        <v>73.319999999999993</v>
      </c>
    </row>
    <row r="2054" spans="1:5" ht="15" customHeight="1" x14ac:dyDescent="0.25">
      <c r="A2054">
        <v>832</v>
      </c>
      <c r="B2054" t="s">
        <v>157</v>
      </c>
      <c r="C2054">
        <v>599</v>
      </c>
      <c r="D2054" t="s">
        <v>129</v>
      </c>
      <c r="E2054">
        <v>7.21</v>
      </c>
    </row>
    <row r="2055" spans="1:5" ht="15" customHeight="1" x14ac:dyDescent="0.25">
      <c r="A2055">
        <v>832</v>
      </c>
      <c r="B2055" t="s">
        <v>157</v>
      </c>
      <c r="C2055">
        <v>620</v>
      </c>
      <c r="D2055" t="s">
        <v>130</v>
      </c>
      <c r="E2055">
        <v>41.99</v>
      </c>
    </row>
    <row r="2056" spans="1:5" ht="15" customHeight="1" x14ac:dyDescent="0.25">
      <c r="A2056">
        <v>832</v>
      </c>
      <c r="B2056" t="s">
        <v>157</v>
      </c>
      <c r="C2056">
        <v>626</v>
      </c>
      <c r="D2056" t="s">
        <v>131</v>
      </c>
      <c r="E2056">
        <v>3.23</v>
      </c>
    </row>
    <row r="2057" spans="1:5" ht="15" customHeight="1" x14ac:dyDescent="0.25">
      <c r="A2057">
        <v>832</v>
      </c>
      <c r="B2057" t="s">
        <v>157</v>
      </c>
      <c r="C2057">
        <v>627</v>
      </c>
      <c r="D2057" t="s">
        <v>132</v>
      </c>
      <c r="E2057">
        <v>7.41</v>
      </c>
    </row>
    <row r="2058" spans="1:5" ht="15" customHeight="1" x14ac:dyDescent="0.25">
      <c r="A2058">
        <v>832</v>
      </c>
      <c r="B2058" t="s">
        <v>157</v>
      </c>
      <c r="C2058">
        <v>651</v>
      </c>
      <c r="D2058" t="s">
        <v>133</v>
      </c>
      <c r="E2058">
        <v>3.96</v>
      </c>
    </row>
    <row r="2059" spans="1:5" ht="15" customHeight="1" x14ac:dyDescent="0.25">
      <c r="A2059">
        <v>832</v>
      </c>
      <c r="B2059" t="s">
        <v>157</v>
      </c>
      <c r="C2059">
        <v>668</v>
      </c>
      <c r="D2059" t="s">
        <v>134</v>
      </c>
      <c r="E2059">
        <v>5.18</v>
      </c>
    </row>
    <row r="2060" spans="1:5" ht="15" customHeight="1" x14ac:dyDescent="0.25">
      <c r="A2060">
        <v>832</v>
      </c>
      <c r="B2060" t="s">
        <v>157</v>
      </c>
      <c r="C2060">
        <v>681</v>
      </c>
      <c r="D2060" t="s">
        <v>135</v>
      </c>
      <c r="E2060">
        <v>1.87</v>
      </c>
    </row>
    <row r="2061" spans="1:5" ht="15" customHeight="1" x14ac:dyDescent="0.25">
      <c r="A2061">
        <v>832</v>
      </c>
      <c r="B2061" t="s">
        <v>157</v>
      </c>
      <c r="C2061">
        <v>682</v>
      </c>
      <c r="D2061" t="s">
        <v>136</v>
      </c>
      <c r="E2061">
        <v>4.2300000000000004</v>
      </c>
    </row>
    <row r="2062" spans="1:5" ht="15" customHeight="1" x14ac:dyDescent="0.25">
      <c r="A2062">
        <v>832</v>
      </c>
      <c r="B2062" t="s">
        <v>157</v>
      </c>
      <c r="C2062">
        <v>683</v>
      </c>
      <c r="D2062" t="s">
        <v>137</v>
      </c>
      <c r="E2062">
        <v>3.78</v>
      </c>
    </row>
    <row r="2063" spans="1:5" ht="15" customHeight="1" x14ac:dyDescent="0.25">
      <c r="A2063">
        <v>832</v>
      </c>
      <c r="B2063" t="s">
        <v>157</v>
      </c>
      <c r="C2063">
        <v>684</v>
      </c>
      <c r="D2063" t="s">
        <v>138</v>
      </c>
      <c r="E2063">
        <v>2.79</v>
      </c>
    </row>
    <row r="2064" spans="1:5" ht="15" customHeight="1" x14ac:dyDescent="0.25">
      <c r="A2064">
        <v>832</v>
      </c>
      <c r="B2064" t="s">
        <v>157</v>
      </c>
      <c r="C2064">
        <v>685</v>
      </c>
      <c r="D2064" t="s">
        <v>139</v>
      </c>
      <c r="E2064">
        <v>1.81</v>
      </c>
    </row>
    <row r="2065" spans="1:5" ht="15" customHeight="1" x14ac:dyDescent="0.25">
      <c r="A2065">
        <v>832</v>
      </c>
      <c r="B2065" t="s">
        <v>157</v>
      </c>
      <c r="C2065">
        <v>691</v>
      </c>
      <c r="D2065" t="s">
        <v>140</v>
      </c>
      <c r="E2065">
        <v>1.37</v>
      </c>
    </row>
    <row r="2066" spans="1:5" ht="15" customHeight="1" x14ac:dyDescent="0.25">
      <c r="A2066">
        <v>832</v>
      </c>
      <c r="B2066" t="s">
        <v>157</v>
      </c>
      <c r="C2066">
        <v>706</v>
      </c>
      <c r="D2066" t="s">
        <v>141</v>
      </c>
      <c r="E2066">
        <v>3.9</v>
      </c>
    </row>
    <row r="2067" spans="1:5" ht="15" customHeight="1" x14ac:dyDescent="0.25">
      <c r="A2067">
        <v>832</v>
      </c>
      <c r="B2067" t="s">
        <v>157</v>
      </c>
      <c r="C2067">
        <v>713</v>
      </c>
      <c r="D2067" t="s">
        <v>142</v>
      </c>
      <c r="E2067">
        <v>4.53</v>
      </c>
    </row>
    <row r="2068" spans="1:5" ht="15" customHeight="1" x14ac:dyDescent="0.25">
      <c r="A2068">
        <v>832</v>
      </c>
      <c r="B2068" t="s">
        <v>157</v>
      </c>
      <c r="C2068">
        <v>718</v>
      </c>
      <c r="D2068" t="s">
        <v>143</v>
      </c>
      <c r="E2068">
        <v>6.21</v>
      </c>
    </row>
    <row r="2069" spans="1:5" ht="15" customHeight="1" x14ac:dyDescent="0.25">
      <c r="A2069">
        <v>832</v>
      </c>
      <c r="B2069" t="s">
        <v>157</v>
      </c>
      <c r="C2069">
        <v>731</v>
      </c>
      <c r="D2069" t="s">
        <v>144</v>
      </c>
      <c r="E2069">
        <v>30.34</v>
      </c>
    </row>
    <row r="2070" spans="1:5" ht="15" customHeight="1" x14ac:dyDescent="0.25">
      <c r="A2070">
        <v>832</v>
      </c>
      <c r="B2070" t="s">
        <v>157</v>
      </c>
      <c r="C2070">
        <v>743</v>
      </c>
      <c r="D2070" t="s">
        <v>145</v>
      </c>
      <c r="E2070">
        <v>11.33</v>
      </c>
    </row>
    <row r="2071" spans="1:5" ht="15" customHeight="1" x14ac:dyDescent="0.25">
      <c r="A2071">
        <v>832</v>
      </c>
      <c r="B2071" t="s">
        <v>157</v>
      </c>
      <c r="C2071">
        <v>760</v>
      </c>
      <c r="D2071" t="s">
        <v>146</v>
      </c>
      <c r="E2071">
        <v>1.25</v>
      </c>
    </row>
    <row r="2072" spans="1:5" ht="15" customHeight="1" x14ac:dyDescent="0.25">
      <c r="A2072">
        <v>832</v>
      </c>
      <c r="B2072" t="s">
        <v>157</v>
      </c>
      <c r="C2072">
        <v>765</v>
      </c>
      <c r="D2072" t="s">
        <v>147</v>
      </c>
      <c r="E2072">
        <v>4.03</v>
      </c>
    </row>
    <row r="2073" spans="1:5" ht="15" customHeight="1" x14ac:dyDescent="0.25">
      <c r="A2073">
        <v>832</v>
      </c>
      <c r="B2073" t="s">
        <v>157</v>
      </c>
      <c r="C2073">
        <v>766</v>
      </c>
      <c r="D2073" t="s">
        <v>148</v>
      </c>
      <c r="E2073">
        <v>5.05</v>
      </c>
    </row>
    <row r="2074" spans="1:5" ht="15" customHeight="1" x14ac:dyDescent="0.25">
      <c r="A2074">
        <v>832</v>
      </c>
      <c r="B2074" t="s">
        <v>157</v>
      </c>
      <c r="C2074">
        <v>767</v>
      </c>
      <c r="D2074" t="s">
        <v>149</v>
      </c>
      <c r="E2074">
        <v>7.38</v>
      </c>
    </row>
    <row r="2075" spans="1:5" ht="15" customHeight="1" x14ac:dyDescent="0.25">
      <c r="A2075">
        <v>832</v>
      </c>
      <c r="B2075" t="s">
        <v>157</v>
      </c>
      <c r="C2075">
        <v>795</v>
      </c>
      <c r="D2075" t="s">
        <v>150</v>
      </c>
      <c r="E2075">
        <v>2.19</v>
      </c>
    </row>
    <row r="2076" spans="1:5" ht="15" customHeight="1" x14ac:dyDescent="0.25">
      <c r="A2076">
        <v>832</v>
      </c>
      <c r="B2076" t="s">
        <v>157</v>
      </c>
      <c r="C2076">
        <v>798</v>
      </c>
      <c r="D2076" t="s">
        <v>151</v>
      </c>
      <c r="E2076">
        <v>1.25</v>
      </c>
    </row>
    <row r="2077" spans="1:5" ht="15" customHeight="1" x14ac:dyDescent="0.25">
      <c r="A2077">
        <v>832</v>
      </c>
      <c r="B2077" t="s">
        <v>157</v>
      </c>
      <c r="C2077">
        <v>799</v>
      </c>
      <c r="D2077" t="s">
        <v>152</v>
      </c>
      <c r="E2077">
        <v>3.82</v>
      </c>
    </row>
    <row r="2078" spans="1:5" ht="15" customHeight="1" x14ac:dyDescent="0.25">
      <c r="A2078">
        <v>832</v>
      </c>
      <c r="B2078" t="s">
        <v>157</v>
      </c>
      <c r="C2078">
        <v>811</v>
      </c>
      <c r="D2078" t="s">
        <v>153</v>
      </c>
      <c r="E2078">
        <v>9.2899999999999991</v>
      </c>
    </row>
    <row r="2079" spans="1:5" ht="15" customHeight="1" x14ac:dyDescent="0.25">
      <c r="A2079">
        <v>832</v>
      </c>
      <c r="B2079" t="s">
        <v>157</v>
      </c>
      <c r="C2079">
        <v>820</v>
      </c>
      <c r="D2079" t="s">
        <v>154</v>
      </c>
      <c r="E2079">
        <v>0.39</v>
      </c>
    </row>
    <row r="2080" spans="1:5" ht="15" customHeight="1" x14ac:dyDescent="0.25">
      <c r="A2080">
        <v>832</v>
      </c>
      <c r="B2080" t="s">
        <v>157</v>
      </c>
      <c r="C2080">
        <v>830</v>
      </c>
      <c r="D2080" t="s">
        <v>155</v>
      </c>
      <c r="E2080">
        <v>0.78</v>
      </c>
    </row>
    <row r="2081" spans="1:5" ht="15" customHeight="1" x14ac:dyDescent="0.25">
      <c r="A2081">
        <v>832</v>
      </c>
      <c r="B2081" t="s">
        <v>157</v>
      </c>
      <c r="C2081">
        <v>831</v>
      </c>
      <c r="D2081" t="s">
        <v>156</v>
      </c>
      <c r="E2081">
        <v>8.85</v>
      </c>
    </row>
    <row r="2082" spans="1:5" ht="15" customHeight="1" x14ac:dyDescent="0.25">
      <c r="A2082">
        <v>832</v>
      </c>
      <c r="B2082" t="s">
        <v>157</v>
      </c>
      <c r="C2082">
        <v>832</v>
      </c>
      <c r="D2082" t="s">
        <v>157</v>
      </c>
      <c r="E2082">
        <v>0</v>
      </c>
    </row>
    <row r="2083" spans="1:5" ht="15" customHeight="1" x14ac:dyDescent="0.25">
      <c r="A2083">
        <v>832</v>
      </c>
      <c r="B2083" t="s">
        <v>157</v>
      </c>
      <c r="C2083">
        <v>833</v>
      </c>
      <c r="D2083" t="s">
        <v>158</v>
      </c>
      <c r="E2083">
        <v>2.09</v>
      </c>
    </row>
    <row r="2084" spans="1:5" ht="15" customHeight="1" x14ac:dyDescent="0.25">
      <c r="A2084">
        <v>832</v>
      </c>
      <c r="B2084" t="s">
        <v>157</v>
      </c>
      <c r="C2084">
        <v>840</v>
      </c>
      <c r="D2084" t="s">
        <v>159</v>
      </c>
      <c r="E2084">
        <v>2.21</v>
      </c>
    </row>
    <row r="2085" spans="1:5" ht="15" customHeight="1" x14ac:dyDescent="0.25">
      <c r="A2085">
        <v>832</v>
      </c>
      <c r="B2085" t="s">
        <v>157</v>
      </c>
      <c r="C2085">
        <v>841</v>
      </c>
      <c r="D2085" t="s">
        <v>160</v>
      </c>
      <c r="E2085">
        <v>2.54</v>
      </c>
    </row>
    <row r="2086" spans="1:5" ht="15" customHeight="1" x14ac:dyDescent="0.25">
      <c r="A2086">
        <v>832</v>
      </c>
      <c r="B2086" t="s">
        <v>157</v>
      </c>
      <c r="C2086">
        <v>842</v>
      </c>
      <c r="D2086" t="s">
        <v>161</v>
      </c>
      <c r="E2086">
        <v>6.71</v>
      </c>
    </row>
    <row r="2087" spans="1:5" ht="15" customHeight="1" x14ac:dyDescent="0.25">
      <c r="A2087">
        <v>832</v>
      </c>
      <c r="B2087" t="s">
        <v>157</v>
      </c>
      <c r="C2087">
        <v>847</v>
      </c>
      <c r="D2087" t="s">
        <v>162</v>
      </c>
      <c r="E2087">
        <v>3.01</v>
      </c>
    </row>
    <row r="2088" spans="1:5" ht="15" customHeight="1" x14ac:dyDescent="0.25">
      <c r="A2088">
        <v>832</v>
      </c>
      <c r="B2088" t="s">
        <v>157</v>
      </c>
      <c r="C2088">
        <v>877</v>
      </c>
      <c r="D2088" t="s">
        <v>163</v>
      </c>
      <c r="E2088">
        <v>20.84</v>
      </c>
    </row>
    <row r="2089" spans="1:5" ht="15" customHeight="1" x14ac:dyDescent="0.25">
      <c r="A2089">
        <v>832</v>
      </c>
      <c r="B2089" t="s">
        <v>157</v>
      </c>
      <c r="C2089">
        <v>898</v>
      </c>
      <c r="D2089" t="s">
        <v>164</v>
      </c>
      <c r="E2089">
        <v>5.25</v>
      </c>
    </row>
    <row r="2090" spans="1:5" ht="15" customHeight="1" x14ac:dyDescent="0.25">
      <c r="A2090">
        <v>832</v>
      </c>
      <c r="B2090" t="s">
        <v>157</v>
      </c>
      <c r="C2090">
        <v>899</v>
      </c>
      <c r="D2090" t="s">
        <v>165</v>
      </c>
      <c r="E2090">
        <v>7.76</v>
      </c>
    </row>
    <row r="2091" spans="1:5" ht="15" customHeight="1" x14ac:dyDescent="0.25">
      <c r="A2091">
        <v>832</v>
      </c>
      <c r="B2091" t="s">
        <v>157</v>
      </c>
      <c r="C2091">
        <v>1912</v>
      </c>
      <c r="D2091" t="s">
        <v>166</v>
      </c>
      <c r="E2091">
        <v>26.27</v>
      </c>
    </row>
    <row r="2092" spans="1:5" ht="15" customHeight="1" x14ac:dyDescent="0.25">
      <c r="A2092">
        <v>832</v>
      </c>
      <c r="B2092" t="s">
        <v>157</v>
      </c>
      <c r="C2092">
        <v>9999</v>
      </c>
      <c r="D2092" t="s">
        <v>117</v>
      </c>
      <c r="E2092">
        <v>3.56</v>
      </c>
    </row>
    <row r="2093" spans="1:5" ht="15" customHeight="1" x14ac:dyDescent="0.25">
      <c r="A2093">
        <v>833</v>
      </c>
      <c r="B2093" t="s">
        <v>158</v>
      </c>
      <c r="C2093">
        <v>1</v>
      </c>
      <c r="D2093" t="s">
        <v>117</v>
      </c>
      <c r="E2093">
        <v>2</v>
      </c>
    </row>
    <row r="2094" spans="1:5" ht="15" customHeight="1" x14ac:dyDescent="0.25">
      <c r="A2094">
        <v>833</v>
      </c>
      <c r="B2094" t="s">
        <v>158</v>
      </c>
      <c r="C2094">
        <v>3</v>
      </c>
      <c r="D2094" t="s">
        <v>118</v>
      </c>
      <c r="E2094">
        <v>57.46</v>
      </c>
    </row>
    <row r="2095" spans="1:5" ht="15" customHeight="1" x14ac:dyDescent="0.25">
      <c r="A2095">
        <v>833</v>
      </c>
      <c r="B2095" t="s">
        <v>158</v>
      </c>
      <c r="C2095">
        <v>5</v>
      </c>
      <c r="D2095" t="s">
        <v>119</v>
      </c>
      <c r="E2095">
        <v>104.98</v>
      </c>
    </row>
    <row r="2096" spans="1:5" ht="15" customHeight="1" x14ac:dyDescent="0.25">
      <c r="A2096">
        <v>833</v>
      </c>
      <c r="B2096" t="s">
        <v>158</v>
      </c>
      <c r="C2096">
        <v>11</v>
      </c>
      <c r="D2096" t="s">
        <v>120</v>
      </c>
      <c r="E2096">
        <v>83.77</v>
      </c>
    </row>
    <row r="2097" spans="1:5" ht="15" customHeight="1" x14ac:dyDescent="0.25">
      <c r="A2097">
        <v>833</v>
      </c>
      <c r="B2097" t="s">
        <v>158</v>
      </c>
      <c r="C2097">
        <v>12</v>
      </c>
      <c r="D2097" t="s">
        <v>121</v>
      </c>
      <c r="E2097">
        <v>55.77</v>
      </c>
    </row>
    <row r="2098" spans="1:5" ht="15" customHeight="1" x14ac:dyDescent="0.25">
      <c r="A2098">
        <v>833</v>
      </c>
      <c r="B2098" t="s">
        <v>158</v>
      </c>
      <c r="C2098">
        <v>29</v>
      </c>
      <c r="D2098" t="s">
        <v>122</v>
      </c>
      <c r="E2098">
        <v>120.48</v>
      </c>
    </row>
    <row r="2099" spans="1:5" ht="15" customHeight="1" x14ac:dyDescent="0.25">
      <c r="A2099">
        <v>833</v>
      </c>
      <c r="B2099" t="s">
        <v>158</v>
      </c>
      <c r="C2099">
        <v>70</v>
      </c>
      <c r="D2099" t="s">
        <v>123</v>
      </c>
      <c r="E2099">
        <v>83.17</v>
      </c>
    </row>
    <row r="2100" spans="1:5" ht="15" customHeight="1" x14ac:dyDescent="0.25">
      <c r="A2100">
        <v>833</v>
      </c>
      <c r="B2100" t="s">
        <v>158</v>
      </c>
      <c r="C2100">
        <v>71</v>
      </c>
      <c r="D2100" t="s">
        <v>124</v>
      </c>
      <c r="E2100">
        <v>127.67</v>
      </c>
    </row>
    <row r="2101" spans="1:5" ht="15" customHeight="1" x14ac:dyDescent="0.25">
      <c r="A2101">
        <v>833</v>
      </c>
      <c r="B2101" t="s">
        <v>158</v>
      </c>
      <c r="C2101">
        <v>384</v>
      </c>
      <c r="D2101" t="s">
        <v>125</v>
      </c>
      <c r="E2101">
        <v>2.39</v>
      </c>
    </row>
    <row r="2102" spans="1:5" ht="15" customHeight="1" x14ac:dyDescent="0.25">
      <c r="A2102">
        <v>833</v>
      </c>
      <c r="B2102" t="s">
        <v>158</v>
      </c>
      <c r="C2102">
        <v>429</v>
      </c>
      <c r="D2102" t="s">
        <v>126</v>
      </c>
      <c r="E2102">
        <v>71.58</v>
      </c>
    </row>
    <row r="2103" spans="1:5" ht="15" customHeight="1" x14ac:dyDescent="0.25">
      <c r="A2103">
        <v>833</v>
      </c>
      <c r="B2103" t="s">
        <v>158</v>
      </c>
      <c r="C2103">
        <v>486</v>
      </c>
      <c r="D2103" t="s">
        <v>127</v>
      </c>
      <c r="E2103">
        <v>67.040000000000006</v>
      </c>
    </row>
    <row r="2104" spans="1:5" ht="15" customHeight="1" x14ac:dyDescent="0.25">
      <c r="A2104">
        <v>833</v>
      </c>
      <c r="B2104" t="s">
        <v>158</v>
      </c>
      <c r="C2104">
        <v>546</v>
      </c>
      <c r="D2104" t="s">
        <v>128</v>
      </c>
      <c r="E2104">
        <v>71.89</v>
      </c>
    </row>
    <row r="2105" spans="1:5" ht="15" customHeight="1" x14ac:dyDescent="0.25">
      <c r="A2105">
        <v>833</v>
      </c>
      <c r="B2105" t="s">
        <v>158</v>
      </c>
      <c r="C2105">
        <v>599</v>
      </c>
      <c r="D2105" t="s">
        <v>129</v>
      </c>
      <c r="E2105">
        <v>5.21</v>
      </c>
    </row>
    <row r="2106" spans="1:5" ht="15" customHeight="1" x14ac:dyDescent="0.25">
      <c r="A2106">
        <v>833</v>
      </c>
      <c r="B2106" t="s">
        <v>158</v>
      </c>
      <c r="C2106">
        <v>620</v>
      </c>
      <c r="D2106" t="s">
        <v>130</v>
      </c>
      <c r="E2106">
        <v>42.69</v>
      </c>
    </row>
    <row r="2107" spans="1:5" ht="15" customHeight="1" x14ac:dyDescent="0.25">
      <c r="A2107">
        <v>833</v>
      </c>
      <c r="B2107" t="s">
        <v>158</v>
      </c>
      <c r="C2107">
        <v>626</v>
      </c>
      <c r="D2107" t="s">
        <v>131</v>
      </c>
      <c r="E2107">
        <v>1.86</v>
      </c>
    </row>
    <row r="2108" spans="1:5" ht="15" customHeight="1" x14ac:dyDescent="0.25">
      <c r="A2108">
        <v>833</v>
      </c>
      <c r="B2108" t="s">
        <v>158</v>
      </c>
      <c r="C2108">
        <v>627</v>
      </c>
      <c r="D2108" t="s">
        <v>132</v>
      </c>
      <c r="E2108">
        <v>6.78</v>
      </c>
    </row>
    <row r="2109" spans="1:5" ht="15" customHeight="1" x14ac:dyDescent="0.25">
      <c r="A2109">
        <v>833</v>
      </c>
      <c r="B2109" t="s">
        <v>158</v>
      </c>
      <c r="C2109">
        <v>651</v>
      </c>
      <c r="D2109" t="s">
        <v>133</v>
      </c>
      <c r="E2109">
        <v>3.69</v>
      </c>
    </row>
    <row r="2110" spans="1:5" ht="15" customHeight="1" x14ac:dyDescent="0.25">
      <c r="A2110">
        <v>833</v>
      </c>
      <c r="B2110" t="s">
        <v>158</v>
      </c>
      <c r="C2110">
        <v>668</v>
      </c>
      <c r="D2110" t="s">
        <v>134</v>
      </c>
      <c r="E2110">
        <v>3.14</v>
      </c>
    </row>
    <row r="2111" spans="1:5" ht="15" customHeight="1" x14ac:dyDescent="0.25">
      <c r="A2111">
        <v>833</v>
      </c>
      <c r="B2111" t="s">
        <v>158</v>
      </c>
      <c r="C2111">
        <v>681</v>
      </c>
      <c r="D2111" t="s">
        <v>135</v>
      </c>
      <c r="E2111">
        <v>2.9</v>
      </c>
    </row>
    <row r="2112" spans="1:5" ht="15" customHeight="1" x14ac:dyDescent="0.25">
      <c r="A2112">
        <v>833</v>
      </c>
      <c r="B2112" t="s">
        <v>158</v>
      </c>
      <c r="C2112">
        <v>682</v>
      </c>
      <c r="D2112" t="s">
        <v>136</v>
      </c>
      <c r="E2112">
        <v>2.62</v>
      </c>
    </row>
    <row r="2113" spans="1:5" ht="15" customHeight="1" x14ac:dyDescent="0.25">
      <c r="A2113">
        <v>833</v>
      </c>
      <c r="B2113" t="s">
        <v>158</v>
      </c>
      <c r="C2113">
        <v>683</v>
      </c>
      <c r="D2113" t="s">
        <v>137</v>
      </c>
      <c r="E2113">
        <v>2.44</v>
      </c>
    </row>
    <row r="2114" spans="1:5" ht="15" customHeight="1" x14ac:dyDescent="0.25">
      <c r="A2114">
        <v>833</v>
      </c>
      <c r="B2114" t="s">
        <v>158</v>
      </c>
      <c r="C2114">
        <v>684</v>
      </c>
      <c r="D2114" t="s">
        <v>138</v>
      </c>
      <c r="E2114">
        <v>0.79</v>
      </c>
    </row>
    <row r="2115" spans="1:5" ht="15" customHeight="1" x14ac:dyDescent="0.25">
      <c r="A2115">
        <v>833</v>
      </c>
      <c r="B2115" t="s">
        <v>158</v>
      </c>
      <c r="C2115">
        <v>685</v>
      </c>
      <c r="D2115" t="s">
        <v>139</v>
      </c>
      <c r="E2115">
        <v>1.41</v>
      </c>
    </row>
    <row r="2116" spans="1:5" ht="15" customHeight="1" x14ac:dyDescent="0.25">
      <c r="A2116">
        <v>833</v>
      </c>
      <c r="B2116" t="s">
        <v>158</v>
      </c>
      <c r="C2116">
        <v>691</v>
      </c>
      <c r="D2116" t="s">
        <v>140</v>
      </c>
      <c r="E2116">
        <v>2.5499999999999998</v>
      </c>
    </row>
    <row r="2117" spans="1:5" ht="15" customHeight="1" x14ac:dyDescent="0.25">
      <c r="A2117">
        <v>833</v>
      </c>
      <c r="B2117" t="s">
        <v>158</v>
      </c>
      <c r="C2117">
        <v>706</v>
      </c>
      <c r="D2117" t="s">
        <v>141</v>
      </c>
      <c r="E2117">
        <v>3.38</v>
      </c>
    </row>
    <row r="2118" spans="1:5" ht="15" customHeight="1" x14ac:dyDescent="0.25">
      <c r="A2118">
        <v>833</v>
      </c>
      <c r="B2118" t="s">
        <v>158</v>
      </c>
      <c r="C2118">
        <v>713</v>
      </c>
      <c r="D2118" t="s">
        <v>142</v>
      </c>
      <c r="E2118">
        <v>2.4900000000000002</v>
      </c>
    </row>
    <row r="2119" spans="1:5" ht="15" customHeight="1" x14ac:dyDescent="0.25">
      <c r="A2119">
        <v>833</v>
      </c>
      <c r="B2119" t="s">
        <v>158</v>
      </c>
      <c r="C2119">
        <v>718</v>
      </c>
      <c r="D2119" t="s">
        <v>143</v>
      </c>
      <c r="E2119">
        <v>5.0199999999999996</v>
      </c>
    </row>
    <row r="2120" spans="1:5" ht="15" customHeight="1" x14ac:dyDescent="0.25">
      <c r="A2120">
        <v>833</v>
      </c>
      <c r="B2120" t="s">
        <v>158</v>
      </c>
      <c r="C2120">
        <v>731</v>
      </c>
      <c r="D2120" t="s">
        <v>144</v>
      </c>
      <c r="E2120">
        <v>29.3</v>
      </c>
    </row>
    <row r="2121" spans="1:5" ht="15" customHeight="1" x14ac:dyDescent="0.25">
      <c r="A2121">
        <v>833</v>
      </c>
      <c r="B2121" t="s">
        <v>158</v>
      </c>
      <c r="C2121">
        <v>743</v>
      </c>
      <c r="D2121" t="s">
        <v>145</v>
      </c>
      <c r="E2121">
        <v>12.89</v>
      </c>
    </row>
    <row r="2122" spans="1:5" ht="15" customHeight="1" x14ac:dyDescent="0.25">
      <c r="A2122">
        <v>833</v>
      </c>
      <c r="B2122" t="s">
        <v>158</v>
      </c>
      <c r="C2122">
        <v>760</v>
      </c>
      <c r="D2122" t="s">
        <v>146</v>
      </c>
      <c r="E2122">
        <v>1.66</v>
      </c>
    </row>
    <row r="2123" spans="1:5" ht="15" customHeight="1" x14ac:dyDescent="0.25">
      <c r="A2123">
        <v>833</v>
      </c>
      <c r="B2123" t="s">
        <v>158</v>
      </c>
      <c r="C2123">
        <v>765</v>
      </c>
      <c r="D2123" t="s">
        <v>147</v>
      </c>
      <c r="E2123">
        <v>2.84</v>
      </c>
    </row>
    <row r="2124" spans="1:5" ht="15" customHeight="1" x14ac:dyDescent="0.25">
      <c r="A2124">
        <v>833</v>
      </c>
      <c r="B2124" t="s">
        <v>158</v>
      </c>
      <c r="C2124">
        <v>766</v>
      </c>
      <c r="D2124" t="s">
        <v>148</v>
      </c>
      <c r="E2124">
        <v>3.76</v>
      </c>
    </row>
    <row r="2125" spans="1:5" ht="15" customHeight="1" x14ac:dyDescent="0.25">
      <c r="A2125">
        <v>833</v>
      </c>
      <c r="B2125" t="s">
        <v>158</v>
      </c>
      <c r="C2125">
        <v>767</v>
      </c>
      <c r="D2125" t="s">
        <v>149</v>
      </c>
      <c r="E2125">
        <v>7.57</v>
      </c>
    </row>
    <row r="2126" spans="1:5" ht="15" customHeight="1" x14ac:dyDescent="0.25">
      <c r="A2126">
        <v>833</v>
      </c>
      <c r="B2126" t="s">
        <v>158</v>
      </c>
      <c r="C2126">
        <v>795</v>
      </c>
      <c r="D2126" t="s">
        <v>150</v>
      </c>
      <c r="E2126">
        <v>1.06</v>
      </c>
    </row>
    <row r="2127" spans="1:5" ht="15" customHeight="1" x14ac:dyDescent="0.25">
      <c r="A2127">
        <v>833</v>
      </c>
      <c r="B2127" t="s">
        <v>158</v>
      </c>
      <c r="C2127">
        <v>798</v>
      </c>
      <c r="D2127" t="s">
        <v>151</v>
      </c>
      <c r="E2127">
        <v>3.31</v>
      </c>
    </row>
    <row r="2128" spans="1:5" ht="15" customHeight="1" x14ac:dyDescent="0.25">
      <c r="A2128">
        <v>833</v>
      </c>
      <c r="B2128" t="s">
        <v>158</v>
      </c>
      <c r="C2128">
        <v>799</v>
      </c>
      <c r="D2128" t="s">
        <v>152</v>
      </c>
      <c r="E2128">
        <v>2.04</v>
      </c>
    </row>
    <row r="2129" spans="1:5" ht="15" customHeight="1" x14ac:dyDescent="0.25">
      <c r="A2129">
        <v>833</v>
      </c>
      <c r="B2129" t="s">
        <v>158</v>
      </c>
      <c r="C2129">
        <v>811</v>
      </c>
      <c r="D2129" t="s">
        <v>153</v>
      </c>
      <c r="E2129">
        <v>7.61</v>
      </c>
    </row>
    <row r="2130" spans="1:5" ht="15" customHeight="1" x14ac:dyDescent="0.25">
      <c r="A2130">
        <v>833</v>
      </c>
      <c r="B2130" t="s">
        <v>158</v>
      </c>
      <c r="C2130">
        <v>820</v>
      </c>
      <c r="D2130" t="s">
        <v>154</v>
      </c>
      <c r="E2130">
        <v>2.09</v>
      </c>
    </row>
    <row r="2131" spans="1:5" ht="15" customHeight="1" x14ac:dyDescent="0.25">
      <c r="A2131">
        <v>833</v>
      </c>
      <c r="B2131" t="s">
        <v>158</v>
      </c>
      <c r="C2131">
        <v>830</v>
      </c>
      <c r="D2131" t="s">
        <v>155</v>
      </c>
      <c r="E2131">
        <v>2.58</v>
      </c>
    </row>
    <row r="2132" spans="1:5" ht="15" customHeight="1" x14ac:dyDescent="0.25">
      <c r="A2132">
        <v>833</v>
      </c>
      <c r="B2132" t="s">
        <v>158</v>
      </c>
      <c r="C2132">
        <v>831</v>
      </c>
      <c r="D2132" t="s">
        <v>156</v>
      </c>
      <c r="E2132">
        <v>7.04</v>
      </c>
    </row>
    <row r="2133" spans="1:5" ht="15" customHeight="1" x14ac:dyDescent="0.25">
      <c r="A2133">
        <v>833</v>
      </c>
      <c r="B2133" t="s">
        <v>158</v>
      </c>
      <c r="C2133">
        <v>832</v>
      </c>
      <c r="D2133" t="s">
        <v>157</v>
      </c>
      <c r="E2133">
        <v>2.09</v>
      </c>
    </row>
    <row r="2134" spans="1:5" ht="15" customHeight="1" x14ac:dyDescent="0.25">
      <c r="A2134">
        <v>833</v>
      </c>
      <c r="B2134" t="s">
        <v>158</v>
      </c>
      <c r="C2134">
        <v>833</v>
      </c>
      <c r="D2134" t="s">
        <v>158</v>
      </c>
      <c r="E2134">
        <v>0</v>
      </c>
    </row>
    <row r="2135" spans="1:5" ht="15" customHeight="1" x14ac:dyDescent="0.25">
      <c r="A2135">
        <v>833</v>
      </c>
      <c r="B2135" t="s">
        <v>158</v>
      </c>
      <c r="C2135">
        <v>840</v>
      </c>
      <c r="D2135" t="s">
        <v>159</v>
      </c>
      <c r="E2135">
        <v>3.89</v>
      </c>
    </row>
    <row r="2136" spans="1:5" ht="15" customHeight="1" x14ac:dyDescent="0.25">
      <c r="A2136">
        <v>833</v>
      </c>
      <c r="B2136" t="s">
        <v>158</v>
      </c>
      <c r="C2136">
        <v>841</v>
      </c>
      <c r="D2136" t="s">
        <v>160</v>
      </c>
      <c r="E2136">
        <v>2.39</v>
      </c>
    </row>
    <row r="2137" spans="1:5" ht="15" customHeight="1" x14ac:dyDescent="0.25">
      <c r="A2137">
        <v>833</v>
      </c>
      <c r="B2137" t="s">
        <v>158</v>
      </c>
      <c r="C2137">
        <v>842</v>
      </c>
      <c r="D2137" t="s">
        <v>161</v>
      </c>
      <c r="E2137">
        <v>4.7</v>
      </c>
    </row>
    <row r="2138" spans="1:5" ht="15" customHeight="1" x14ac:dyDescent="0.25">
      <c r="A2138">
        <v>833</v>
      </c>
      <c r="B2138" t="s">
        <v>158</v>
      </c>
      <c r="C2138">
        <v>847</v>
      </c>
      <c r="D2138" t="s">
        <v>162</v>
      </c>
      <c r="E2138">
        <v>2.86</v>
      </c>
    </row>
    <row r="2139" spans="1:5" ht="15" customHeight="1" x14ac:dyDescent="0.25">
      <c r="A2139">
        <v>833</v>
      </c>
      <c r="B2139" t="s">
        <v>158</v>
      </c>
      <c r="C2139">
        <v>877</v>
      </c>
      <c r="D2139" t="s">
        <v>163</v>
      </c>
      <c r="E2139">
        <v>19.79</v>
      </c>
    </row>
    <row r="2140" spans="1:5" ht="15" customHeight="1" x14ac:dyDescent="0.25">
      <c r="A2140">
        <v>833</v>
      </c>
      <c r="B2140" t="s">
        <v>158</v>
      </c>
      <c r="C2140">
        <v>898</v>
      </c>
      <c r="D2140" t="s">
        <v>164</v>
      </c>
      <c r="E2140">
        <v>3.42</v>
      </c>
    </row>
    <row r="2141" spans="1:5" ht="15" customHeight="1" x14ac:dyDescent="0.25">
      <c r="A2141">
        <v>833</v>
      </c>
      <c r="B2141" t="s">
        <v>158</v>
      </c>
      <c r="C2141">
        <v>899</v>
      </c>
      <c r="D2141" t="s">
        <v>165</v>
      </c>
      <c r="E2141">
        <v>6</v>
      </c>
    </row>
    <row r="2142" spans="1:5" ht="15" customHeight="1" x14ac:dyDescent="0.25">
      <c r="A2142">
        <v>833</v>
      </c>
      <c r="B2142" t="s">
        <v>158</v>
      </c>
      <c r="C2142">
        <v>1912</v>
      </c>
      <c r="D2142" t="s">
        <v>166</v>
      </c>
      <c r="E2142">
        <v>25.02</v>
      </c>
    </row>
    <row r="2143" spans="1:5" ht="15" customHeight="1" x14ac:dyDescent="0.25">
      <c r="A2143">
        <v>833</v>
      </c>
      <c r="B2143" t="s">
        <v>158</v>
      </c>
      <c r="C2143">
        <v>9999</v>
      </c>
      <c r="D2143" t="s">
        <v>117</v>
      </c>
      <c r="E2143">
        <v>2</v>
      </c>
    </row>
    <row r="2144" spans="1:5" ht="15" customHeight="1" x14ac:dyDescent="0.25">
      <c r="A2144">
        <v>840</v>
      </c>
      <c r="B2144" t="s">
        <v>159</v>
      </c>
      <c r="C2144">
        <v>1</v>
      </c>
      <c r="D2144" t="s">
        <v>117</v>
      </c>
      <c r="E2144">
        <v>5.67</v>
      </c>
    </row>
    <row r="2145" spans="1:5" ht="15" customHeight="1" x14ac:dyDescent="0.25">
      <c r="A2145">
        <v>840</v>
      </c>
      <c r="B2145" t="s">
        <v>159</v>
      </c>
      <c r="C2145">
        <v>3</v>
      </c>
      <c r="D2145" t="s">
        <v>118</v>
      </c>
      <c r="E2145">
        <v>57.8</v>
      </c>
    </row>
    <row r="2146" spans="1:5" ht="15" customHeight="1" x14ac:dyDescent="0.25">
      <c r="A2146">
        <v>840</v>
      </c>
      <c r="B2146" t="s">
        <v>159</v>
      </c>
      <c r="C2146">
        <v>5</v>
      </c>
      <c r="D2146" t="s">
        <v>119</v>
      </c>
      <c r="E2146">
        <v>105.53</v>
      </c>
    </row>
    <row r="2147" spans="1:5" ht="15" customHeight="1" x14ac:dyDescent="0.25">
      <c r="A2147">
        <v>840</v>
      </c>
      <c r="B2147" t="s">
        <v>159</v>
      </c>
      <c r="C2147">
        <v>11</v>
      </c>
      <c r="D2147" t="s">
        <v>120</v>
      </c>
      <c r="E2147">
        <v>82.02</v>
      </c>
    </row>
    <row r="2148" spans="1:5" ht="15" customHeight="1" x14ac:dyDescent="0.25">
      <c r="A2148">
        <v>840</v>
      </c>
      <c r="B2148" t="s">
        <v>159</v>
      </c>
      <c r="C2148">
        <v>12</v>
      </c>
      <c r="D2148" t="s">
        <v>121</v>
      </c>
      <c r="E2148">
        <v>59.2</v>
      </c>
    </row>
    <row r="2149" spans="1:5" ht="15" customHeight="1" x14ac:dyDescent="0.25">
      <c r="A2149">
        <v>840</v>
      </c>
      <c r="B2149" t="s">
        <v>159</v>
      </c>
      <c r="C2149">
        <v>29</v>
      </c>
      <c r="D2149" t="s">
        <v>122</v>
      </c>
      <c r="E2149">
        <v>117.82</v>
      </c>
    </row>
    <row r="2150" spans="1:5" ht="15" customHeight="1" x14ac:dyDescent="0.25">
      <c r="A2150">
        <v>840</v>
      </c>
      <c r="B2150" t="s">
        <v>159</v>
      </c>
      <c r="C2150">
        <v>70</v>
      </c>
      <c r="D2150" t="s">
        <v>123</v>
      </c>
      <c r="E2150">
        <v>87.06</v>
      </c>
    </row>
    <row r="2151" spans="1:5" ht="15" customHeight="1" x14ac:dyDescent="0.25">
      <c r="A2151">
        <v>840</v>
      </c>
      <c r="B2151" t="s">
        <v>159</v>
      </c>
      <c r="C2151">
        <v>71</v>
      </c>
      <c r="D2151" t="s">
        <v>124</v>
      </c>
      <c r="E2151">
        <v>130.76</v>
      </c>
    </row>
    <row r="2152" spans="1:5" ht="15" customHeight="1" x14ac:dyDescent="0.25">
      <c r="A2152">
        <v>840</v>
      </c>
      <c r="B2152" t="s">
        <v>159</v>
      </c>
      <c r="C2152">
        <v>384</v>
      </c>
      <c r="D2152" t="s">
        <v>125</v>
      </c>
      <c r="E2152">
        <v>5.65</v>
      </c>
    </row>
    <row r="2153" spans="1:5" ht="15" customHeight="1" x14ac:dyDescent="0.25">
      <c r="A2153">
        <v>840</v>
      </c>
      <c r="B2153" t="s">
        <v>159</v>
      </c>
      <c r="C2153">
        <v>429</v>
      </c>
      <c r="D2153" t="s">
        <v>126</v>
      </c>
      <c r="E2153">
        <v>74.7</v>
      </c>
    </row>
    <row r="2154" spans="1:5" ht="15" customHeight="1" x14ac:dyDescent="0.25">
      <c r="A2154">
        <v>840</v>
      </c>
      <c r="B2154" t="s">
        <v>159</v>
      </c>
      <c r="C2154">
        <v>486</v>
      </c>
      <c r="D2154" t="s">
        <v>127</v>
      </c>
      <c r="E2154">
        <v>69.94</v>
      </c>
    </row>
    <row r="2155" spans="1:5" ht="15" customHeight="1" x14ac:dyDescent="0.25">
      <c r="A2155">
        <v>840</v>
      </c>
      <c r="B2155" t="s">
        <v>159</v>
      </c>
      <c r="C2155">
        <v>546</v>
      </c>
      <c r="D2155" t="s">
        <v>128</v>
      </c>
      <c r="E2155">
        <v>73.09</v>
      </c>
    </row>
    <row r="2156" spans="1:5" ht="15" customHeight="1" x14ac:dyDescent="0.25">
      <c r="A2156">
        <v>840</v>
      </c>
      <c r="B2156" t="s">
        <v>159</v>
      </c>
      <c r="C2156">
        <v>599</v>
      </c>
      <c r="D2156" t="s">
        <v>129</v>
      </c>
      <c r="E2156">
        <v>8.41</v>
      </c>
    </row>
    <row r="2157" spans="1:5" ht="15" customHeight="1" x14ac:dyDescent="0.25">
      <c r="A2157">
        <v>840</v>
      </c>
      <c r="B2157" t="s">
        <v>159</v>
      </c>
      <c r="C2157">
        <v>620</v>
      </c>
      <c r="D2157" t="s">
        <v>130</v>
      </c>
      <c r="E2157">
        <v>43.23</v>
      </c>
    </row>
    <row r="2158" spans="1:5" ht="15" customHeight="1" x14ac:dyDescent="0.25">
      <c r="A2158">
        <v>840</v>
      </c>
      <c r="B2158" t="s">
        <v>159</v>
      </c>
      <c r="C2158">
        <v>626</v>
      </c>
      <c r="D2158" t="s">
        <v>131</v>
      </c>
      <c r="E2158">
        <v>4.12</v>
      </c>
    </row>
    <row r="2159" spans="1:5" ht="15" customHeight="1" x14ac:dyDescent="0.25">
      <c r="A2159">
        <v>840</v>
      </c>
      <c r="B2159" t="s">
        <v>159</v>
      </c>
      <c r="C2159">
        <v>627</v>
      </c>
      <c r="D2159" t="s">
        <v>132</v>
      </c>
      <c r="E2159">
        <v>9.58</v>
      </c>
    </row>
    <row r="2160" spans="1:5" ht="15" customHeight="1" x14ac:dyDescent="0.25">
      <c r="A2160">
        <v>840</v>
      </c>
      <c r="B2160" t="s">
        <v>159</v>
      </c>
      <c r="C2160">
        <v>651</v>
      </c>
      <c r="D2160" t="s">
        <v>133</v>
      </c>
      <c r="E2160">
        <v>6.12</v>
      </c>
    </row>
    <row r="2161" spans="1:5" ht="15" customHeight="1" x14ac:dyDescent="0.25">
      <c r="A2161">
        <v>840</v>
      </c>
      <c r="B2161" t="s">
        <v>159</v>
      </c>
      <c r="C2161">
        <v>668</v>
      </c>
      <c r="D2161" t="s">
        <v>134</v>
      </c>
      <c r="E2161">
        <v>6.58</v>
      </c>
    </row>
    <row r="2162" spans="1:5" ht="15" customHeight="1" x14ac:dyDescent="0.25">
      <c r="A2162">
        <v>840</v>
      </c>
      <c r="B2162" t="s">
        <v>159</v>
      </c>
      <c r="C2162">
        <v>681</v>
      </c>
      <c r="D2162" t="s">
        <v>135</v>
      </c>
      <c r="E2162">
        <v>3.79</v>
      </c>
    </row>
    <row r="2163" spans="1:5" ht="15" customHeight="1" x14ac:dyDescent="0.25">
      <c r="A2163">
        <v>840</v>
      </c>
      <c r="B2163" t="s">
        <v>159</v>
      </c>
      <c r="C2163">
        <v>682</v>
      </c>
      <c r="D2163" t="s">
        <v>136</v>
      </c>
      <c r="E2163">
        <v>6.35</v>
      </c>
    </row>
    <row r="2164" spans="1:5" ht="15" customHeight="1" x14ac:dyDescent="0.25">
      <c r="A2164">
        <v>840</v>
      </c>
      <c r="B2164" t="s">
        <v>159</v>
      </c>
      <c r="C2164">
        <v>683</v>
      </c>
      <c r="D2164" t="s">
        <v>137</v>
      </c>
      <c r="E2164">
        <v>5.95</v>
      </c>
    </row>
    <row r="2165" spans="1:5" ht="15" customHeight="1" x14ac:dyDescent="0.25">
      <c r="A2165">
        <v>840</v>
      </c>
      <c r="B2165" t="s">
        <v>159</v>
      </c>
      <c r="C2165">
        <v>684</v>
      </c>
      <c r="D2165" t="s">
        <v>138</v>
      </c>
      <c r="E2165">
        <v>4.67</v>
      </c>
    </row>
    <row r="2166" spans="1:5" ht="15" customHeight="1" x14ac:dyDescent="0.25">
      <c r="A2166">
        <v>840</v>
      </c>
      <c r="B2166" t="s">
        <v>159</v>
      </c>
      <c r="C2166">
        <v>685</v>
      </c>
      <c r="D2166" t="s">
        <v>139</v>
      </c>
      <c r="E2166">
        <v>4.0199999999999996</v>
      </c>
    </row>
    <row r="2167" spans="1:5" ht="15" customHeight="1" x14ac:dyDescent="0.25">
      <c r="A2167">
        <v>840</v>
      </c>
      <c r="B2167" t="s">
        <v>159</v>
      </c>
      <c r="C2167">
        <v>691</v>
      </c>
      <c r="D2167" t="s">
        <v>140</v>
      </c>
      <c r="E2167">
        <v>3.36</v>
      </c>
    </row>
    <row r="2168" spans="1:5" ht="15" customHeight="1" x14ac:dyDescent="0.25">
      <c r="A2168">
        <v>840</v>
      </c>
      <c r="B2168" t="s">
        <v>159</v>
      </c>
      <c r="C2168">
        <v>706</v>
      </c>
      <c r="D2168" t="s">
        <v>141</v>
      </c>
      <c r="E2168">
        <v>6.09</v>
      </c>
    </row>
    <row r="2169" spans="1:5" ht="15" customHeight="1" x14ac:dyDescent="0.25">
      <c r="A2169">
        <v>840</v>
      </c>
      <c r="B2169" t="s">
        <v>159</v>
      </c>
      <c r="C2169">
        <v>713</v>
      </c>
      <c r="D2169" t="s">
        <v>142</v>
      </c>
      <c r="E2169">
        <v>6.35</v>
      </c>
    </row>
    <row r="2170" spans="1:5" ht="15" customHeight="1" x14ac:dyDescent="0.25">
      <c r="A2170">
        <v>840</v>
      </c>
      <c r="B2170" t="s">
        <v>159</v>
      </c>
      <c r="C2170">
        <v>718</v>
      </c>
      <c r="D2170" t="s">
        <v>143</v>
      </c>
      <c r="E2170">
        <v>8.42</v>
      </c>
    </row>
    <row r="2171" spans="1:5" ht="15" customHeight="1" x14ac:dyDescent="0.25">
      <c r="A2171">
        <v>840</v>
      </c>
      <c r="B2171" t="s">
        <v>159</v>
      </c>
      <c r="C2171">
        <v>731</v>
      </c>
      <c r="D2171" t="s">
        <v>144</v>
      </c>
      <c r="E2171">
        <v>29.69</v>
      </c>
    </row>
    <row r="2172" spans="1:5" ht="15" customHeight="1" x14ac:dyDescent="0.25">
      <c r="A2172">
        <v>840</v>
      </c>
      <c r="B2172" t="s">
        <v>159</v>
      </c>
      <c r="C2172">
        <v>743</v>
      </c>
      <c r="D2172" t="s">
        <v>145</v>
      </c>
      <c r="E2172">
        <v>9.1300000000000008</v>
      </c>
    </row>
    <row r="2173" spans="1:5" ht="15" customHeight="1" x14ac:dyDescent="0.25">
      <c r="A2173">
        <v>840</v>
      </c>
      <c r="B2173" t="s">
        <v>159</v>
      </c>
      <c r="C2173">
        <v>760</v>
      </c>
      <c r="D2173" t="s">
        <v>146</v>
      </c>
      <c r="E2173">
        <v>3.46</v>
      </c>
    </row>
    <row r="2174" spans="1:5" ht="15" customHeight="1" x14ac:dyDescent="0.25">
      <c r="A2174">
        <v>840</v>
      </c>
      <c r="B2174" t="s">
        <v>159</v>
      </c>
      <c r="C2174">
        <v>765</v>
      </c>
      <c r="D2174" t="s">
        <v>147</v>
      </c>
      <c r="E2174">
        <v>4.5199999999999996</v>
      </c>
    </row>
    <row r="2175" spans="1:5" ht="15" customHeight="1" x14ac:dyDescent="0.25">
      <c r="A2175">
        <v>840</v>
      </c>
      <c r="B2175" t="s">
        <v>159</v>
      </c>
      <c r="C2175">
        <v>766</v>
      </c>
      <c r="D2175" t="s">
        <v>148</v>
      </c>
      <c r="E2175">
        <v>7.24</v>
      </c>
    </row>
    <row r="2176" spans="1:5" ht="15" customHeight="1" x14ac:dyDescent="0.25">
      <c r="A2176">
        <v>840</v>
      </c>
      <c r="B2176" t="s">
        <v>159</v>
      </c>
      <c r="C2176">
        <v>767</v>
      </c>
      <c r="D2176" t="s">
        <v>149</v>
      </c>
      <c r="E2176">
        <v>9.25</v>
      </c>
    </row>
    <row r="2177" spans="1:5" ht="15" customHeight="1" x14ac:dyDescent="0.25">
      <c r="A2177">
        <v>840</v>
      </c>
      <c r="B2177" t="s">
        <v>159</v>
      </c>
      <c r="C2177">
        <v>795</v>
      </c>
      <c r="D2177" t="s">
        <v>150</v>
      </c>
      <c r="E2177">
        <v>4.32</v>
      </c>
    </row>
    <row r="2178" spans="1:5" ht="15" customHeight="1" x14ac:dyDescent="0.25">
      <c r="A2178">
        <v>840</v>
      </c>
      <c r="B2178" t="s">
        <v>159</v>
      </c>
      <c r="C2178">
        <v>798</v>
      </c>
      <c r="D2178" t="s">
        <v>151</v>
      </c>
      <c r="E2178">
        <v>2.04</v>
      </c>
    </row>
    <row r="2179" spans="1:5" ht="15" customHeight="1" x14ac:dyDescent="0.25">
      <c r="A2179">
        <v>840</v>
      </c>
      <c r="B2179" t="s">
        <v>159</v>
      </c>
      <c r="C2179">
        <v>799</v>
      </c>
      <c r="D2179" t="s">
        <v>152</v>
      </c>
      <c r="E2179">
        <v>4.9400000000000004</v>
      </c>
    </row>
    <row r="2180" spans="1:5" ht="15" customHeight="1" x14ac:dyDescent="0.25">
      <c r="A2180">
        <v>840</v>
      </c>
      <c r="B2180" t="s">
        <v>159</v>
      </c>
      <c r="C2180">
        <v>811</v>
      </c>
      <c r="D2180" t="s">
        <v>153</v>
      </c>
      <c r="E2180">
        <v>11.41</v>
      </c>
    </row>
    <row r="2181" spans="1:5" ht="15" customHeight="1" x14ac:dyDescent="0.25">
      <c r="A2181">
        <v>840</v>
      </c>
      <c r="B2181" t="s">
        <v>159</v>
      </c>
      <c r="C2181">
        <v>820</v>
      </c>
      <c r="D2181" t="s">
        <v>154</v>
      </c>
      <c r="E2181">
        <v>2.5499999999999998</v>
      </c>
    </row>
    <row r="2182" spans="1:5" ht="15" customHeight="1" x14ac:dyDescent="0.25">
      <c r="A2182">
        <v>840</v>
      </c>
      <c r="B2182" t="s">
        <v>159</v>
      </c>
      <c r="C2182">
        <v>830</v>
      </c>
      <c r="D2182" t="s">
        <v>155</v>
      </c>
      <c r="E2182">
        <v>2.58</v>
      </c>
    </row>
    <row r="2183" spans="1:5" ht="15" customHeight="1" x14ac:dyDescent="0.25">
      <c r="A2183">
        <v>840</v>
      </c>
      <c r="B2183" t="s">
        <v>159</v>
      </c>
      <c r="C2183">
        <v>831</v>
      </c>
      <c r="D2183" t="s">
        <v>156</v>
      </c>
      <c r="E2183">
        <v>9.6</v>
      </c>
    </row>
    <row r="2184" spans="1:5" ht="15" customHeight="1" x14ac:dyDescent="0.25">
      <c r="A2184">
        <v>840</v>
      </c>
      <c r="B2184" t="s">
        <v>159</v>
      </c>
      <c r="C2184">
        <v>832</v>
      </c>
      <c r="D2184" t="s">
        <v>157</v>
      </c>
      <c r="E2184">
        <v>2.21</v>
      </c>
    </row>
    <row r="2185" spans="1:5" ht="15" customHeight="1" x14ac:dyDescent="0.25">
      <c r="A2185">
        <v>840</v>
      </c>
      <c r="B2185" t="s">
        <v>159</v>
      </c>
      <c r="C2185">
        <v>833</v>
      </c>
      <c r="D2185" t="s">
        <v>158</v>
      </c>
      <c r="E2185">
        <v>3.89</v>
      </c>
    </row>
    <row r="2186" spans="1:5" ht="15" customHeight="1" x14ac:dyDescent="0.25">
      <c r="A2186">
        <v>840</v>
      </c>
      <c r="B2186" t="s">
        <v>159</v>
      </c>
      <c r="C2186">
        <v>840</v>
      </c>
      <c r="D2186" t="s">
        <v>159</v>
      </c>
      <c r="E2186">
        <v>0</v>
      </c>
    </row>
    <row r="2187" spans="1:5" ht="15" customHeight="1" x14ac:dyDescent="0.25">
      <c r="A2187">
        <v>840</v>
      </c>
      <c r="B2187" t="s">
        <v>159</v>
      </c>
      <c r="C2187">
        <v>841</v>
      </c>
      <c r="D2187" t="s">
        <v>160</v>
      </c>
      <c r="E2187">
        <v>4.7300000000000004</v>
      </c>
    </row>
    <row r="2188" spans="1:5" ht="15" customHeight="1" x14ac:dyDescent="0.25">
      <c r="A2188">
        <v>840</v>
      </c>
      <c r="B2188" t="s">
        <v>159</v>
      </c>
      <c r="C2188">
        <v>842</v>
      </c>
      <c r="D2188" t="s">
        <v>161</v>
      </c>
      <c r="E2188">
        <v>8.57</v>
      </c>
    </row>
    <row r="2189" spans="1:5" ht="15" customHeight="1" x14ac:dyDescent="0.25">
      <c r="A2189">
        <v>840</v>
      </c>
      <c r="B2189" t="s">
        <v>159</v>
      </c>
      <c r="C2189">
        <v>847</v>
      </c>
      <c r="D2189" t="s">
        <v>162</v>
      </c>
      <c r="E2189">
        <v>5.18</v>
      </c>
    </row>
    <row r="2190" spans="1:5" ht="15" customHeight="1" x14ac:dyDescent="0.25">
      <c r="A2190">
        <v>840</v>
      </c>
      <c r="B2190" t="s">
        <v>159</v>
      </c>
      <c r="C2190">
        <v>877</v>
      </c>
      <c r="D2190" t="s">
        <v>163</v>
      </c>
      <c r="E2190">
        <v>20.260000000000002</v>
      </c>
    </row>
    <row r="2191" spans="1:5" ht="15" customHeight="1" x14ac:dyDescent="0.25">
      <c r="A2191">
        <v>840</v>
      </c>
      <c r="B2191" t="s">
        <v>159</v>
      </c>
      <c r="C2191">
        <v>898</v>
      </c>
      <c r="D2191" t="s">
        <v>164</v>
      </c>
      <c r="E2191">
        <v>6.26</v>
      </c>
    </row>
    <row r="2192" spans="1:5" ht="15" customHeight="1" x14ac:dyDescent="0.25">
      <c r="A2192">
        <v>840</v>
      </c>
      <c r="B2192" t="s">
        <v>159</v>
      </c>
      <c r="C2192">
        <v>899</v>
      </c>
      <c r="D2192" t="s">
        <v>165</v>
      </c>
      <c r="E2192">
        <v>9.84</v>
      </c>
    </row>
    <row r="2193" spans="1:5" ht="15" customHeight="1" x14ac:dyDescent="0.25">
      <c r="A2193">
        <v>840</v>
      </c>
      <c r="B2193" t="s">
        <v>159</v>
      </c>
      <c r="C2193">
        <v>1912</v>
      </c>
      <c r="D2193" t="s">
        <v>166</v>
      </c>
      <c r="E2193">
        <v>25.9</v>
      </c>
    </row>
    <row r="2194" spans="1:5" ht="15" customHeight="1" x14ac:dyDescent="0.25">
      <c r="A2194">
        <v>840</v>
      </c>
      <c r="B2194" t="s">
        <v>159</v>
      </c>
      <c r="C2194">
        <v>9999</v>
      </c>
      <c r="D2194" t="s">
        <v>117</v>
      </c>
      <c r="E2194">
        <v>5.67</v>
      </c>
    </row>
    <row r="2195" spans="1:5" ht="15" customHeight="1" x14ac:dyDescent="0.25">
      <c r="A2195">
        <v>841</v>
      </c>
      <c r="B2195" t="s">
        <v>160</v>
      </c>
      <c r="C2195">
        <v>1</v>
      </c>
      <c r="D2195" t="s">
        <v>117</v>
      </c>
      <c r="E2195">
        <v>1.97</v>
      </c>
    </row>
    <row r="2196" spans="1:5" ht="15" customHeight="1" x14ac:dyDescent="0.25">
      <c r="A2196">
        <v>841</v>
      </c>
      <c r="B2196" t="s">
        <v>160</v>
      </c>
      <c r="C2196">
        <v>3</v>
      </c>
      <c r="D2196" t="s">
        <v>118</v>
      </c>
      <c r="E2196">
        <v>59.83</v>
      </c>
    </row>
    <row r="2197" spans="1:5" ht="15" customHeight="1" x14ac:dyDescent="0.25">
      <c r="A2197">
        <v>841</v>
      </c>
      <c r="B2197" t="s">
        <v>160</v>
      </c>
      <c r="C2197">
        <v>5</v>
      </c>
      <c r="D2197" t="s">
        <v>119</v>
      </c>
      <c r="E2197">
        <v>107.32</v>
      </c>
    </row>
    <row r="2198" spans="1:5" ht="15" customHeight="1" x14ac:dyDescent="0.25">
      <c r="A2198">
        <v>841</v>
      </c>
      <c r="B2198" t="s">
        <v>160</v>
      </c>
      <c r="C2198">
        <v>11</v>
      </c>
      <c r="D2198" t="s">
        <v>120</v>
      </c>
      <c r="E2198">
        <v>85.98</v>
      </c>
    </row>
    <row r="2199" spans="1:5" ht="15" customHeight="1" x14ac:dyDescent="0.25">
      <c r="A2199">
        <v>841</v>
      </c>
      <c r="B2199" t="s">
        <v>160</v>
      </c>
      <c r="C2199">
        <v>12</v>
      </c>
      <c r="D2199" t="s">
        <v>121</v>
      </c>
      <c r="E2199">
        <v>56.78</v>
      </c>
    </row>
    <row r="2200" spans="1:5" ht="15" customHeight="1" x14ac:dyDescent="0.25">
      <c r="A2200">
        <v>841</v>
      </c>
      <c r="B2200" t="s">
        <v>160</v>
      </c>
      <c r="C2200">
        <v>29</v>
      </c>
      <c r="D2200" t="s">
        <v>122</v>
      </c>
      <c r="E2200">
        <v>118.91</v>
      </c>
    </row>
    <row r="2201" spans="1:5" ht="15" customHeight="1" x14ac:dyDescent="0.25">
      <c r="A2201">
        <v>841</v>
      </c>
      <c r="B2201" t="s">
        <v>160</v>
      </c>
      <c r="C2201">
        <v>70</v>
      </c>
      <c r="D2201" t="s">
        <v>123</v>
      </c>
      <c r="E2201">
        <v>83.07</v>
      </c>
    </row>
    <row r="2202" spans="1:5" ht="15" customHeight="1" x14ac:dyDescent="0.25">
      <c r="A2202">
        <v>841</v>
      </c>
      <c r="B2202" t="s">
        <v>160</v>
      </c>
      <c r="C2202">
        <v>71</v>
      </c>
      <c r="D2202" t="s">
        <v>124</v>
      </c>
      <c r="E2202">
        <v>126.06</v>
      </c>
    </row>
    <row r="2203" spans="1:5" ht="15" customHeight="1" x14ac:dyDescent="0.25">
      <c r="A2203">
        <v>841</v>
      </c>
      <c r="B2203" t="s">
        <v>160</v>
      </c>
      <c r="C2203">
        <v>384</v>
      </c>
      <c r="D2203" t="s">
        <v>125</v>
      </c>
      <c r="E2203">
        <v>1.31</v>
      </c>
    </row>
    <row r="2204" spans="1:5" ht="15" customHeight="1" x14ac:dyDescent="0.25">
      <c r="A2204">
        <v>841</v>
      </c>
      <c r="B2204" t="s">
        <v>160</v>
      </c>
      <c r="C2204">
        <v>429</v>
      </c>
      <c r="D2204" t="s">
        <v>126</v>
      </c>
      <c r="E2204">
        <v>69.989999999999995</v>
      </c>
    </row>
    <row r="2205" spans="1:5" ht="15" customHeight="1" x14ac:dyDescent="0.25">
      <c r="A2205">
        <v>841</v>
      </c>
      <c r="B2205" t="s">
        <v>160</v>
      </c>
      <c r="C2205">
        <v>486</v>
      </c>
      <c r="D2205" t="s">
        <v>127</v>
      </c>
      <c r="E2205">
        <v>68.540000000000006</v>
      </c>
    </row>
    <row r="2206" spans="1:5" ht="15" customHeight="1" x14ac:dyDescent="0.25">
      <c r="A2206">
        <v>841</v>
      </c>
      <c r="B2206" t="s">
        <v>160</v>
      </c>
      <c r="C2206">
        <v>546</v>
      </c>
      <c r="D2206" t="s">
        <v>128</v>
      </c>
      <c r="E2206">
        <v>74.12</v>
      </c>
    </row>
    <row r="2207" spans="1:5" ht="15" customHeight="1" x14ac:dyDescent="0.25">
      <c r="A2207">
        <v>841</v>
      </c>
      <c r="B2207" t="s">
        <v>160</v>
      </c>
      <c r="C2207">
        <v>599</v>
      </c>
      <c r="D2207" t="s">
        <v>129</v>
      </c>
      <c r="E2207">
        <v>7</v>
      </c>
    </row>
    <row r="2208" spans="1:5" ht="15" customHeight="1" x14ac:dyDescent="0.25">
      <c r="A2208">
        <v>841</v>
      </c>
      <c r="B2208" t="s">
        <v>160</v>
      </c>
      <c r="C2208">
        <v>620</v>
      </c>
      <c r="D2208" t="s">
        <v>130</v>
      </c>
      <c r="E2208">
        <v>40.299999999999997</v>
      </c>
    </row>
    <row r="2209" spans="1:5" ht="15" customHeight="1" x14ac:dyDescent="0.25">
      <c r="A2209">
        <v>841</v>
      </c>
      <c r="B2209" t="s">
        <v>160</v>
      </c>
      <c r="C2209">
        <v>626</v>
      </c>
      <c r="D2209" t="s">
        <v>131</v>
      </c>
      <c r="E2209">
        <v>4.25</v>
      </c>
    </row>
    <row r="2210" spans="1:5" ht="15" customHeight="1" x14ac:dyDescent="0.25">
      <c r="A2210">
        <v>841</v>
      </c>
      <c r="B2210" t="s">
        <v>160</v>
      </c>
      <c r="C2210">
        <v>627</v>
      </c>
      <c r="D2210" t="s">
        <v>132</v>
      </c>
      <c r="E2210">
        <v>4.88</v>
      </c>
    </row>
    <row r="2211" spans="1:5" ht="15" customHeight="1" x14ac:dyDescent="0.25">
      <c r="A2211">
        <v>841</v>
      </c>
      <c r="B2211" t="s">
        <v>160</v>
      </c>
      <c r="C2211">
        <v>651</v>
      </c>
      <c r="D2211" t="s">
        <v>133</v>
      </c>
      <c r="E2211">
        <v>1.45</v>
      </c>
    </row>
    <row r="2212" spans="1:5" ht="15" customHeight="1" x14ac:dyDescent="0.25">
      <c r="A2212">
        <v>841</v>
      </c>
      <c r="B2212" t="s">
        <v>160</v>
      </c>
      <c r="C2212">
        <v>668</v>
      </c>
      <c r="D2212" t="s">
        <v>134</v>
      </c>
      <c r="E2212">
        <v>4.95</v>
      </c>
    </row>
    <row r="2213" spans="1:5" ht="15" customHeight="1" x14ac:dyDescent="0.25">
      <c r="A2213">
        <v>841</v>
      </c>
      <c r="B2213" t="s">
        <v>160</v>
      </c>
      <c r="C2213">
        <v>681</v>
      </c>
      <c r="D2213" t="s">
        <v>135</v>
      </c>
      <c r="E2213">
        <v>1.41</v>
      </c>
    </row>
    <row r="2214" spans="1:5" ht="15" customHeight="1" x14ac:dyDescent="0.25">
      <c r="A2214">
        <v>841</v>
      </c>
      <c r="B2214" t="s">
        <v>160</v>
      </c>
      <c r="C2214">
        <v>682</v>
      </c>
      <c r="D2214" t="s">
        <v>136</v>
      </c>
      <c r="E2214">
        <v>2.48</v>
      </c>
    </row>
    <row r="2215" spans="1:5" ht="15" customHeight="1" x14ac:dyDescent="0.25">
      <c r="A2215">
        <v>841</v>
      </c>
      <c r="B2215" t="s">
        <v>160</v>
      </c>
      <c r="C2215">
        <v>683</v>
      </c>
      <c r="D2215" t="s">
        <v>137</v>
      </c>
      <c r="E2215">
        <v>1.83</v>
      </c>
    </row>
    <row r="2216" spans="1:5" ht="15" customHeight="1" x14ac:dyDescent="0.25">
      <c r="A2216">
        <v>841</v>
      </c>
      <c r="B2216" t="s">
        <v>160</v>
      </c>
      <c r="C2216">
        <v>684</v>
      </c>
      <c r="D2216" t="s">
        <v>138</v>
      </c>
      <c r="E2216">
        <v>2.38</v>
      </c>
    </row>
    <row r="2217" spans="1:5" ht="15" customHeight="1" x14ac:dyDescent="0.25">
      <c r="A2217">
        <v>841</v>
      </c>
      <c r="B2217" t="s">
        <v>160</v>
      </c>
      <c r="C2217">
        <v>685</v>
      </c>
      <c r="D2217" t="s">
        <v>139</v>
      </c>
      <c r="E2217">
        <v>1.03</v>
      </c>
    </row>
    <row r="2218" spans="1:5" ht="15" customHeight="1" x14ac:dyDescent="0.25">
      <c r="A2218">
        <v>841</v>
      </c>
      <c r="B2218" t="s">
        <v>160</v>
      </c>
      <c r="C2218">
        <v>691</v>
      </c>
      <c r="D2218" t="s">
        <v>140</v>
      </c>
      <c r="E2218">
        <v>1.55</v>
      </c>
    </row>
    <row r="2219" spans="1:5" ht="15" customHeight="1" x14ac:dyDescent="0.25">
      <c r="A2219">
        <v>841</v>
      </c>
      <c r="B2219" t="s">
        <v>160</v>
      </c>
      <c r="C2219">
        <v>706</v>
      </c>
      <c r="D2219" t="s">
        <v>141</v>
      </c>
      <c r="E2219">
        <v>1.36</v>
      </c>
    </row>
    <row r="2220" spans="1:5" ht="15" customHeight="1" x14ac:dyDescent="0.25">
      <c r="A2220">
        <v>841</v>
      </c>
      <c r="B2220" t="s">
        <v>160</v>
      </c>
      <c r="C2220">
        <v>713</v>
      </c>
      <c r="D2220" t="s">
        <v>142</v>
      </c>
      <c r="E2220">
        <v>3.62</v>
      </c>
    </row>
    <row r="2221" spans="1:5" ht="15" customHeight="1" x14ac:dyDescent="0.25">
      <c r="A2221">
        <v>841</v>
      </c>
      <c r="B2221" t="s">
        <v>160</v>
      </c>
      <c r="C2221">
        <v>718</v>
      </c>
      <c r="D2221" t="s">
        <v>143</v>
      </c>
      <c r="E2221">
        <v>3.81</v>
      </c>
    </row>
    <row r="2222" spans="1:5" ht="15" customHeight="1" x14ac:dyDescent="0.25">
      <c r="A2222">
        <v>841</v>
      </c>
      <c r="B2222" t="s">
        <v>160</v>
      </c>
      <c r="C2222">
        <v>731</v>
      </c>
      <c r="D2222" t="s">
        <v>144</v>
      </c>
      <c r="E2222">
        <v>31.68</v>
      </c>
    </row>
    <row r="2223" spans="1:5" ht="15" customHeight="1" x14ac:dyDescent="0.25">
      <c r="A2223">
        <v>841</v>
      </c>
      <c r="B2223" t="s">
        <v>160</v>
      </c>
      <c r="C2223">
        <v>743</v>
      </c>
      <c r="D2223" t="s">
        <v>145</v>
      </c>
      <c r="E2223">
        <v>13.79</v>
      </c>
    </row>
    <row r="2224" spans="1:5" ht="15" customHeight="1" x14ac:dyDescent="0.25">
      <c r="A2224">
        <v>841</v>
      </c>
      <c r="B2224" t="s">
        <v>160</v>
      </c>
      <c r="C2224">
        <v>760</v>
      </c>
      <c r="D2224" t="s">
        <v>146</v>
      </c>
      <c r="E2224">
        <v>1.32</v>
      </c>
    </row>
    <row r="2225" spans="1:5" ht="15" customHeight="1" x14ac:dyDescent="0.25">
      <c r="A2225">
        <v>841</v>
      </c>
      <c r="B2225" t="s">
        <v>160</v>
      </c>
      <c r="C2225">
        <v>765</v>
      </c>
      <c r="D2225" t="s">
        <v>147</v>
      </c>
      <c r="E2225">
        <v>5.23</v>
      </c>
    </row>
    <row r="2226" spans="1:5" ht="15" customHeight="1" x14ac:dyDescent="0.25">
      <c r="A2226">
        <v>841</v>
      </c>
      <c r="B2226" t="s">
        <v>160</v>
      </c>
      <c r="C2226">
        <v>766</v>
      </c>
      <c r="D2226" t="s">
        <v>148</v>
      </c>
      <c r="E2226">
        <v>2.79</v>
      </c>
    </row>
    <row r="2227" spans="1:5" ht="15" customHeight="1" x14ac:dyDescent="0.25">
      <c r="A2227">
        <v>841</v>
      </c>
      <c r="B2227" t="s">
        <v>160</v>
      </c>
      <c r="C2227">
        <v>767</v>
      </c>
      <c r="D2227" t="s">
        <v>149</v>
      </c>
      <c r="E2227">
        <v>5.21</v>
      </c>
    </row>
    <row r="2228" spans="1:5" ht="15" customHeight="1" x14ac:dyDescent="0.25">
      <c r="A2228">
        <v>841</v>
      </c>
      <c r="B2228" t="s">
        <v>160</v>
      </c>
      <c r="C2228">
        <v>795</v>
      </c>
      <c r="D2228" t="s">
        <v>150</v>
      </c>
      <c r="E2228">
        <v>1.38</v>
      </c>
    </row>
    <row r="2229" spans="1:5" ht="15" customHeight="1" x14ac:dyDescent="0.25">
      <c r="A2229">
        <v>841</v>
      </c>
      <c r="B2229" t="s">
        <v>160</v>
      </c>
      <c r="C2229">
        <v>798</v>
      </c>
      <c r="D2229" t="s">
        <v>151</v>
      </c>
      <c r="E2229">
        <v>3.09</v>
      </c>
    </row>
    <row r="2230" spans="1:5" ht="15" customHeight="1" x14ac:dyDescent="0.25">
      <c r="A2230">
        <v>841</v>
      </c>
      <c r="B2230" t="s">
        <v>160</v>
      </c>
      <c r="C2230">
        <v>799</v>
      </c>
      <c r="D2230" t="s">
        <v>152</v>
      </c>
      <c r="E2230">
        <v>4.34</v>
      </c>
    </row>
    <row r="2231" spans="1:5" ht="15" customHeight="1" x14ac:dyDescent="0.25">
      <c r="A2231">
        <v>841</v>
      </c>
      <c r="B2231" t="s">
        <v>160</v>
      </c>
      <c r="C2231">
        <v>811</v>
      </c>
      <c r="D2231" t="s">
        <v>153</v>
      </c>
      <c r="E2231">
        <v>7.16</v>
      </c>
    </row>
    <row r="2232" spans="1:5" ht="15" customHeight="1" x14ac:dyDescent="0.25">
      <c r="A2232">
        <v>841</v>
      </c>
      <c r="B2232" t="s">
        <v>160</v>
      </c>
      <c r="C2232">
        <v>820</v>
      </c>
      <c r="D2232" t="s">
        <v>154</v>
      </c>
      <c r="E2232">
        <v>2.19</v>
      </c>
    </row>
    <row r="2233" spans="1:5" ht="15" customHeight="1" x14ac:dyDescent="0.25">
      <c r="A2233">
        <v>841</v>
      </c>
      <c r="B2233" t="s">
        <v>160</v>
      </c>
      <c r="C2233">
        <v>830</v>
      </c>
      <c r="D2233" t="s">
        <v>155</v>
      </c>
      <c r="E2233">
        <v>2.25</v>
      </c>
    </row>
    <row r="2234" spans="1:5" ht="15" customHeight="1" x14ac:dyDescent="0.25">
      <c r="A2234">
        <v>841</v>
      </c>
      <c r="B2234" t="s">
        <v>160</v>
      </c>
      <c r="C2234">
        <v>831</v>
      </c>
      <c r="D2234" t="s">
        <v>156</v>
      </c>
      <c r="E2234">
        <v>9.1</v>
      </c>
    </row>
    <row r="2235" spans="1:5" ht="15" customHeight="1" x14ac:dyDescent="0.25">
      <c r="A2235">
        <v>841</v>
      </c>
      <c r="B2235" t="s">
        <v>160</v>
      </c>
      <c r="C2235">
        <v>832</v>
      </c>
      <c r="D2235" t="s">
        <v>157</v>
      </c>
      <c r="E2235">
        <v>2.54</v>
      </c>
    </row>
    <row r="2236" spans="1:5" ht="15" customHeight="1" x14ac:dyDescent="0.25">
      <c r="A2236">
        <v>841</v>
      </c>
      <c r="B2236" t="s">
        <v>160</v>
      </c>
      <c r="C2236">
        <v>833</v>
      </c>
      <c r="D2236" t="s">
        <v>158</v>
      </c>
      <c r="E2236">
        <v>2.39</v>
      </c>
    </row>
    <row r="2237" spans="1:5" ht="15" customHeight="1" x14ac:dyDescent="0.25">
      <c r="A2237">
        <v>841</v>
      </c>
      <c r="B2237" t="s">
        <v>160</v>
      </c>
      <c r="C2237">
        <v>840</v>
      </c>
      <c r="D2237" t="s">
        <v>159</v>
      </c>
      <c r="E2237">
        <v>4.7300000000000004</v>
      </c>
    </row>
    <row r="2238" spans="1:5" ht="15" customHeight="1" x14ac:dyDescent="0.25">
      <c r="A2238">
        <v>841</v>
      </c>
      <c r="B2238" t="s">
        <v>160</v>
      </c>
      <c r="C2238">
        <v>841</v>
      </c>
      <c r="D2238" t="s">
        <v>160</v>
      </c>
      <c r="E2238">
        <v>0</v>
      </c>
    </row>
    <row r="2239" spans="1:5" ht="15" customHeight="1" x14ac:dyDescent="0.25">
      <c r="A2239">
        <v>841</v>
      </c>
      <c r="B2239" t="s">
        <v>160</v>
      </c>
      <c r="C2239">
        <v>842</v>
      </c>
      <c r="D2239" t="s">
        <v>161</v>
      </c>
      <c r="E2239">
        <v>5.38</v>
      </c>
    </row>
    <row r="2240" spans="1:5" ht="15" customHeight="1" x14ac:dyDescent="0.25">
      <c r="A2240">
        <v>841</v>
      </c>
      <c r="B2240" t="s">
        <v>160</v>
      </c>
      <c r="C2240">
        <v>847</v>
      </c>
      <c r="D2240" t="s">
        <v>162</v>
      </c>
      <c r="E2240">
        <v>0.51</v>
      </c>
    </row>
    <row r="2241" spans="1:5" ht="15" customHeight="1" x14ac:dyDescent="0.25">
      <c r="A2241">
        <v>841</v>
      </c>
      <c r="B2241" t="s">
        <v>160</v>
      </c>
      <c r="C2241">
        <v>877</v>
      </c>
      <c r="D2241" t="s">
        <v>163</v>
      </c>
      <c r="E2241">
        <v>22.17</v>
      </c>
    </row>
    <row r="2242" spans="1:5" ht="15" customHeight="1" x14ac:dyDescent="0.25">
      <c r="A2242">
        <v>841</v>
      </c>
      <c r="B2242" t="s">
        <v>160</v>
      </c>
      <c r="C2242">
        <v>898</v>
      </c>
      <c r="D2242" t="s">
        <v>164</v>
      </c>
      <c r="E2242">
        <v>5.58</v>
      </c>
    </row>
    <row r="2243" spans="1:5" ht="15" customHeight="1" x14ac:dyDescent="0.25">
      <c r="A2243">
        <v>841</v>
      </c>
      <c r="B2243" t="s">
        <v>160</v>
      </c>
      <c r="C2243">
        <v>899</v>
      </c>
      <c r="D2243" t="s">
        <v>165</v>
      </c>
      <c r="E2243">
        <v>5.81</v>
      </c>
    </row>
    <row r="2244" spans="1:5" ht="15" customHeight="1" x14ac:dyDescent="0.25">
      <c r="A2244">
        <v>841</v>
      </c>
      <c r="B2244" t="s">
        <v>160</v>
      </c>
      <c r="C2244">
        <v>1912</v>
      </c>
      <c r="D2244" t="s">
        <v>166</v>
      </c>
      <c r="E2244">
        <v>27.35</v>
      </c>
    </row>
    <row r="2245" spans="1:5" ht="15" customHeight="1" x14ac:dyDescent="0.25">
      <c r="A2245">
        <v>841</v>
      </c>
      <c r="B2245" t="s">
        <v>160</v>
      </c>
      <c r="C2245">
        <v>9999</v>
      </c>
      <c r="D2245" t="s">
        <v>117</v>
      </c>
      <c r="E2245">
        <v>1.97</v>
      </c>
    </row>
    <row r="2246" spans="1:5" ht="15" customHeight="1" x14ac:dyDescent="0.25">
      <c r="A2246">
        <v>842</v>
      </c>
      <c r="B2246" t="s">
        <v>161</v>
      </c>
      <c r="C2246">
        <v>1</v>
      </c>
      <c r="D2246" t="s">
        <v>117</v>
      </c>
      <c r="E2246">
        <v>3.44</v>
      </c>
    </row>
    <row r="2247" spans="1:5" ht="15" customHeight="1" x14ac:dyDescent="0.25">
      <c r="A2247">
        <v>842</v>
      </c>
      <c r="B2247" t="s">
        <v>161</v>
      </c>
      <c r="C2247">
        <v>3</v>
      </c>
      <c r="D2247" t="s">
        <v>118</v>
      </c>
      <c r="E2247">
        <v>56.77</v>
      </c>
    </row>
    <row r="2248" spans="1:5" ht="15" customHeight="1" x14ac:dyDescent="0.25">
      <c r="A2248">
        <v>842</v>
      </c>
      <c r="B2248" t="s">
        <v>161</v>
      </c>
      <c r="C2248">
        <v>5</v>
      </c>
      <c r="D2248" t="s">
        <v>119</v>
      </c>
      <c r="E2248">
        <v>103.87</v>
      </c>
    </row>
    <row r="2249" spans="1:5" ht="15" customHeight="1" x14ac:dyDescent="0.25">
      <c r="A2249">
        <v>842</v>
      </c>
      <c r="B2249" t="s">
        <v>161</v>
      </c>
      <c r="C2249">
        <v>11</v>
      </c>
      <c r="D2249" t="s">
        <v>120</v>
      </c>
      <c r="E2249">
        <v>85.5</v>
      </c>
    </row>
    <row r="2250" spans="1:5" ht="15" customHeight="1" x14ac:dyDescent="0.25">
      <c r="A2250">
        <v>842</v>
      </c>
      <c r="B2250" t="s">
        <v>161</v>
      </c>
      <c r="C2250">
        <v>12</v>
      </c>
      <c r="D2250" t="s">
        <v>121</v>
      </c>
      <c r="E2250">
        <v>51.41</v>
      </c>
    </row>
    <row r="2251" spans="1:5" ht="15" customHeight="1" x14ac:dyDescent="0.25">
      <c r="A2251">
        <v>842</v>
      </c>
      <c r="B2251" t="s">
        <v>161</v>
      </c>
      <c r="C2251">
        <v>29</v>
      </c>
      <c r="D2251" t="s">
        <v>122</v>
      </c>
      <c r="E2251">
        <v>124.19</v>
      </c>
    </row>
    <row r="2252" spans="1:5" ht="15" customHeight="1" x14ac:dyDescent="0.25">
      <c r="A2252">
        <v>842</v>
      </c>
      <c r="B2252" t="s">
        <v>161</v>
      </c>
      <c r="C2252">
        <v>70</v>
      </c>
      <c r="D2252" t="s">
        <v>123</v>
      </c>
      <c r="E2252">
        <v>78.5</v>
      </c>
    </row>
    <row r="2253" spans="1:5" ht="15" customHeight="1" x14ac:dyDescent="0.25">
      <c r="A2253">
        <v>842</v>
      </c>
      <c r="B2253" t="s">
        <v>161</v>
      </c>
      <c r="C2253">
        <v>71</v>
      </c>
      <c r="D2253" t="s">
        <v>124</v>
      </c>
      <c r="E2253">
        <v>124.42</v>
      </c>
    </row>
    <row r="2254" spans="1:5" ht="15" customHeight="1" x14ac:dyDescent="0.25">
      <c r="A2254">
        <v>842</v>
      </c>
      <c r="B2254" t="s">
        <v>161</v>
      </c>
      <c r="C2254">
        <v>384</v>
      </c>
      <c r="D2254" t="s">
        <v>125</v>
      </c>
      <c r="E2254">
        <v>4.12</v>
      </c>
    </row>
    <row r="2255" spans="1:5" ht="15" customHeight="1" x14ac:dyDescent="0.25">
      <c r="A2255">
        <v>842</v>
      </c>
      <c r="B2255" t="s">
        <v>161</v>
      </c>
      <c r="C2255">
        <v>429</v>
      </c>
      <c r="D2255" t="s">
        <v>126</v>
      </c>
      <c r="E2255">
        <v>68.36</v>
      </c>
    </row>
    <row r="2256" spans="1:5" ht="15" customHeight="1" x14ac:dyDescent="0.25">
      <c r="A2256">
        <v>842</v>
      </c>
      <c r="B2256" t="s">
        <v>161</v>
      </c>
      <c r="C2256">
        <v>486</v>
      </c>
      <c r="D2256" t="s">
        <v>127</v>
      </c>
      <c r="E2256">
        <v>63.26</v>
      </c>
    </row>
    <row r="2257" spans="1:5" ht="15" customHeight="1" x14ac:dyDescent="0.25">
      <c r="A2257">
        <v>842</v>
      </c>
      <c r="B2257" t="s">
        <v>161</v>
      </c>
      <c r="C2257">
        <v>546</v>
      </c>
      <c r="D2257" t="s">
        <v>128</v>
      </c>
      <c r="E2257">
        <v>70.09</v>
      </c>
    </row>
    <row r="2258" spans="1:5" ht="15" customHeight="1" x14ac:dyDescent="0.25">
      <c r="A2258">
        <v>842</v>
      </c>
      <c r="B2258" t="s">
        <v>161</v>
      </c>
      <c r="C2258">
        <v>599</v>
      </c>
      <c r="D2258" t="s">
        <v>129</v>
      </c>
      <c r="E2258">
        <v>3.22</v>
      </c>
    </row>
    <row r="2259" spans="1:5" ht="15" customHeight="1" x14ac:dyDescent="0.25">
      <c r="A2259">
        <v>842</v>
      </c>
      <c r="B2259" t="s">
        <v>161</v>
      </c>
      <c r="C2259">
        <v>620</v>
      </c>
      <c r="D2259" t="s">
        <v>130</v>
      </c>
      <c r="E2259">
        <v>43.13</v>
      </c>
    </row>
    <row r="2260" spans="1:5" ht="15" customHeight="1" x14ac:dyDescent="0.25">
      <c r="A2260">
        <v>842</v>
      </c>
      <c r="B2260" t="s">
        <v>161</v>
      </c>
      <c r="C2260">
        <v>626</v>
      </c>
      <c r="D2260" t="s">
        <v>131</v>
      </c>
      <c r="E2260">
        <v>5.0199999999999996</v>
      </c>
    </row>
    <row r="2261" spans="1:5" ht="15" customHeight="1" x14ac:dyDescent="0.25">
      <c r="A2261">
        <v>842</v>
      </c>
      <c r="B2261" t="s">
        <v>161</v>
      </c>
      <c r="C2261">
        <v>627</v>
      </c>
      <c r="D2261" t="s">
        <v>132</v>
      </c>
      <c r="E2261">
        <v>6.2</v>
      </c>
    </row>
    <row r="2262" spans="1:5" ht="15" customHeight="1" x14ac:dyDescent="0.25">
      <c r="A2262">
        <v>842</v>
      </c>
      <c r="B2262" t="s">
        <v>161</v>
      </c>
      <c r="C2262">
        <v>651</v>
      </c>
      <c r="D2262" t="s">
        <v>133</v>
      </c>
      <c r="E2262">
        <v>5.45</v>
      </c>
    </row>
    <row r="2263" spans="1:5" ht="15" customHeight="1" x14ac:dyDescent="0.25">
      <c r="A2263">
        <v>842</v>
      </c>
      <c r="B2263" t="s">
        <v>161</v>
      </c>
      <c r="C2263">
        <v>668</v>
      </c>
      <c r="D2263" t="s">
        <v>134</v>
      </c>
      <c r="E2263">
        <v>2.73</v>
      </c>
    </row>
    <row r="2264" spans="1:5" ht="15" customHeight="1" x14ac:dyDescent="0.25">
      <c r="A2264">
        <v>842</v>
      </c>
      <c r="B2264" t="s">
        <v>161</v>
      </c>
      <c r="C2264">
        <v>681</v>
      </c>
      <c r="D2264" t="s">
        <v>135</v>
      </c>
      <c r="E2264">
        <v>6.7</v>
      </c>
    </row>
    <row r="2265" spans="1:5" ht="15" customHeight="1" x14ac:dyDescent="0.25">
      <c r="A2265">
        <v>842</v>
      </c>
      <c r="B2265" t="s">
        <v>161</v>
      </c>
      <c r="C2265">
        <v>682</v>
      </c>
      <c r="D2265" t="s">
        <v>136</v>
      </c>
      <c r="E2265">
        <v>2.92</v>
      </c>
    </row>
    <row r="2266" spans="1:5" ht="15" customHeight="1" x14ac:dyDescent="0.25">
      <c r="A2266">
        <v>842</v>
      </c>
      <c r="B2266" t="s">
        <v>161</v>
      </c>
      <c r="C2266">
        <v>683</v>
      </c>
      <c r="D2266" t="s">
        <v>137</v>
      </c>
      <c r="E2266">
        <v>3.58</v>
      </c>
    </row>
    <row r="2267" spans="1:5" ht="15" customHeight="1" x14ac:dyDescent="0.25">
      <c r="A2267">
        <v>842</v>
      </c>
      <c r="B2267" t="s">
        <v>161</v>
      </c>
      <c r="C2267">
        <v>684</v>
      </c>
      <c r="D2267" t="s">
        <v>138</v>
      </c>
      <c r="E2267">
        <v>3.94</v>
      </c>
    </row>
    <row r="2268" spans="1:5" ht="15" customHeight="1" x14ac:dyDescent="0.25">
      <c r="A2268">
        <v>842</v>
      </c>
      <c r="B2268" t="s">
        <v>161</v>
      </c>
      <c r="C2268">
        <v>685</v>
      </c>
      <c r="D2268" t="s">
        <v>139</v>
      </c>
      <c r="E2268">
        <v>5.2</v>
      </c>
    </row>
    <row r="2269" spans="1:5" ht="15" customHeight="1" x14ac:dyDescent="0.25">
      <c r="A2269">
        <v>842</v>
      </c>
      <c r="B2269" t="s">
        <v>161</v>
      </c>
      <c r="C2269">
        <v>691</v>
      </c>
      <c r="D2269" t="s">
        <v>140</v>
      </c>
      <c r="E2269">
        <v>6.61</v>
      </c>
    </row>
    <row r="2270" spans="1:5" ht="15" customHeight="1" x14ac:dyDescent="0.25">
      <c r="A2270">
        <v>842</v>
      </c>
      <c r="B2270" t="s">
        <v>161</v>
      </c>
      <c r="C2270">
        <v>706</v>
      </c>
      <c r="D2270" t="s">
        <v>141</v>
      </c>
      <c r="E2270">
        <v>4.9800000000000004</v>
      </c>
    </row>
    <row r="2271" spans="1:5" ht="15" customHeight="1" x14ac:dyDescent="0.25">
      <c r="A2271">
        <v>842</v>
      </c>
      <c r="B2271" t="s">
        <v>161</v>
      </c>
      <c r="C2271">
        <v>713</v>
      </c>
      <c r="D2271" t="s">
        <v>142</v>
      </c>
      <c r="E2271">
        <v>2.2200000000000002</v>
      </c>
    </row>
    <row r="2272" spans="1:5" ht="15" customHeight="1" x14ac:dyDescent="0.25">
      <c r="A2272">
        <v>842</v>
      </c>
      <c r="B2272" t="s">
        <v>161</v>
      </c>
      <c r="C2272">
        <v>718</v>
      </c>
      <c r="D2272" t="s">
        <v>143</v>
      </c>
      <c r="E2272">
        <v>3.8</v>
      </c>
    </row>
    <row r="2273" spans="1:5" ht="15" customHeight="1" x14ac:dyDescent="0.25">
      <c r="A2273">
        <v>842</v>
      </c>
      <c r="B2273" t="s">
        <v>161</v>
      </c>
      <c r="C2273">
        <v>731</v>
      </c>
      <c r="D2273" t="s">
        <v>144</v>
      </c>
      <c r="E2273">
        <v>28.88</v>
      </c>
    </row>
    <row r="2274" spans="1:5" ht="15" customHeight="1" x14ac:dyDescent="0.25">
      <c r="A2274">
        <v>842</v>
      </c>
      <c r="B2274" t="s">
        <v>161</v>
      </c>
      <c r="C2274">
        <v>743</v>
      </c>
      <c r="D2274" t="s">
        <v>145</v>
      </c>
      <c r="E2274">
        <v>17.38</v>
      </c>
    </row>
    <row r="2275" spans="1:5" ht="15" customHeight="1" x14ac:dyDescent="0.25">
      <c r="A2275">
        <v>842</v>
      </c>
      <c r="B2275" t="s">
        <v>161</v>
      </c>
      <c r="C2275">
        <v>760</v>
      </c>
      <c r="D2275" t="s">
        <v>146</v>
      </c>
      <c r="E2275">
        <v>5.81</v>
      </c>
    </row>
    <row r="2276" spans="1:5" ht="15" customHeight="1" x14ac:dyDescent="0.25">
      <c r="A2276">
        <v>842</v>
      </c>
      <c r="B2276" t="s">
        <v>161</v>
      </c>
      <c r="C2276">
        <v>765</v>
      </c>
      <c r="D2276" t="s">
        <v>147</v>
      </c>
      <c r="E2276">
        <v>5.46</v>
      </c>
    </row>
    <row r="2277" spans="1:5" ht="15" customHeight="1" x14ac:dyDescent="0.25">
      <c r="A2277">
        <v>842</v>
      </c>
      <c r="B2277" t="s">
        <v>161</v>
      </c>
      <c r="C2277">
        <v>766</v>
      </c>
      <c r="D2277" t="s">
        <v>148</v>
      </c>
      <c r="E2277">
        <v>3.36</v>
      </c>
    </row>
    <row r="2278" spans="1:5" ht="15" customHeight="1" x14ac:dyDescent="0.25">
      <c r="A2278">
        <v>842</v>
      </c>
      <c r="B2278" t="s">
        <v>161</v>
      </c>
      <c r="C2278">
        <v>767</v>
      </c>
      <c r="D2278" t="s">
        <v>149</v>
      </c>
      <c r="E2278">
        <v>8.5399999999999991</v>
      </c>
    </row>
    <row r="2279" spans="1:5" ht="15" customHeight="1" x14ac:dyDescent="0.25">
      <c r="A2279">
        <v>842</v>
      </c>
      <c r="B2279" t="s">
        <v>161</v>
      </c>
      <c r="C2279">
        <v>795</v>
      </c>
      <c r="D2279" t="s">
        <v>150</v>
      </c>
      <c r="E2279">
        <v>4.6399999999999997</v>
      </c>
    </row>
    <row r="2280" spans="1:5" ht="15" customHeight="1" x14ac:dyDescent="0.25">
      <c r="A2280">
        <v>842</v>
      </c>
      <c r="B2280" t="s">
        <v>161</v>
      </c>
      <c r="C2280">
        <v>798</v>
      </c>
      <c r="D2280" t="s">
        <v>151</v>
      </c>
      <c r="E2280">
        <v>7.84</v>
      </c>
    </row>
    <row r="2281" spans="1:5" ht="15" customHeight="1" x14ac:dyDescent="0.25">
      <c r="A2281">
        <v>842</v>
      </c>
      <c r="B2281" t="s">
        <v>161</v>
      </c>
      <c r="C2281">
        <v>799</v>
      </c>
      <c r="D2281" t="s">
        <v>152</v>
      </c>
      <c r="E2281">
        <v>4.2</v>
      </c>
    </row>
    <row r="2282" spans="1:5" ht="15" customHeight="1" x14ac:dyDescent="0.25">
      <c r="A2282">
        <v>842</v>
      </c>
      <c r="B2282" t="s">
        <v>161</v>
      </c>
      <c r="C2282">
        <v>811</v>
      </c>
      <c r="D2282" t="s">
        <v>153</v>
      </c>
      <c r="E2282">
        <v>3.75</v>
      </c>
    </row>
    <row r="2283" spans="1:5" ht="15" customHeight="1" x14ac:dyDescent="0.25">
      <c r="A2283">
        <v>842</v>
      </c>
      <c r="B2283" t="s">
        <v>161</v>
      </c>
      <c r="C2283">
        <v>820</v>
      </c>
      <c r="D2283" t="s">
        <v>154</v>
      </c>
      <c r="E2283">
        <v>6.61</v>
      </c>
    </row>
    <row r="2284" spans="1:5" ht="15" customHeight="1" x14ac:dyDescent="0.25">
      <c r="A2284">
        <v>842</v>
      </c>
      <c r="B2284" t="s">
        <v>161</v>
      </c>
      <c r="C2284">
        <v>830</v>
      </c>
      <c r="D2284" t="s">
        <v>155</v>
      </c>
      <c r="E2284">
        <v>7</v>
      </c>
    </row>
    <row r="2285" spans="1:5" ht="15" customHeight="1" x14ac:dyDescent="0.25">
      <c r="A2285">
        <v>842</v>
      </c>
      <c r="B2285" t="s">
        <v>161</v>
      </c>
      <c r="C2285">
        <v>831</v>
      </c>
      <c r="D2285" t="s">
        <v>156</v>
      </c>
      <c r="E2285">
        <v>5.57</v>
      </c>
    </row>
    <row r="2286" spans="1:5" ht="15" customHeight="1" x14ac:dyDescent="0.25">
      <c r="A2286">
        <v>842</v>
      </c>
      <c r="B2286" t="s">
        <v>161</v>
      </c>
      <c r="C2286">
        <v>832</v>
      </c>
      <c r="D2286" t="s">
        <v>157</v>
      </c>
      <c r="E2286">
        <v>6.71</v>
      </c>
    </row>
    <row r="2287" spans="1:5" ht="15" customHeight="1" x14ac:dyDescent="0.25">
      <c r="A2287">
        <v>842</v>
      </c>
      <c r="B2287" t="s">
        <v>161</v>
      </c>
      <c r="C2287">
        <v>833</v>
      </c>
      <c r="D2287" t="s">
        <v>158</v>
      </c>
      <c r="E2287">
        <v>4.7</v>
      </c>
    </row>
    <row r="2288" spans="1:5" ht="15" customHeight="1" x14ac:dyDescent="0.25">
      <c r="A2288">
        <v>842</v>
      </c>
      <c r="B2288" t="s">
        <v>161</v>
      </c>
      <c r="C2288">
        <v>840</v>
      </c>
      <c r="D2288" t="s">
        <v>159</v>
      </c>
      <c r="E2288">
        <v>8.57</v>
      </c>
    </row>
    <row r="2289" spans="1:5" ht="15" customHeight="1" x14ac:dyDescent="0.25">
      <c r="A2289">
        <v>842</v>
      </c>
      <c r="B2289" t="s">
        <v>161</v>
      </c>
      <c r="C2289">
        <v>841</v>
      </c>
      <c r="D2289" t="s">
        <v>160</v>
      </c>
      <c r="E2289">
        <v>5.38</v>
      </c>
    </row>
    <row r="2290" spans="1:5" ht="15" customHeight="1" x14ac:dyDescent="0.25">
      <c r="A2290">
        <v>842</v>
      </c>
      <c r="B2290" t="s">
        <v>161</v>
      </c>
      <c r="C2290">
        <v>842</v>
      </c>
      <c r="D2290" t="s">
        <v>161</v>
      </c>
      <c r="E2290">
        <v>0</v>
      </c>
    </row>
    <row r="2291" spans="1:5" ht="15" customHeight="1" x14ac:dyDescent="0.25">
      <c r="A2291">
        <v>842</v>
      </c>
      <c r="B2291" t="s">
        <v>161</v>
      </c>
      <c r="C2291">
        <v>847</v>
      </c>
      <c r="D2291" t="s">
        <v>162</v>
      </c>
      <c r="E2291">
        <v>5.44</v>
      </c>
    </row>
    <row r="2292" spans="1:5" ht="15" customHeight="1" x14ac:dyDescent="0.25">
      <c r="A2292">
        <v>842</v>
      </c>
      <c r="B2292" t="s">
        <v>161</v>
      </c>
      <c r="C2292">
        <v>877</v>
      </c>
      <c r="D2292" t="s">
        <v>163</v>
      </c>
      <c r="E2292">
        <v>19.61</v>
      </c>
    </row>
    <row r="2293" spans="1:5" ht="15" customHeight="1" x14ac:dyDescent="0.25">
      <c r="A2293">
        <v>842</v>
      </c>
      <c r="B2293" t="s">
        <v>161</v>
      </c>
      <c r="C2293">
        <v>898</v>
      </c>
      <c r="D2293" t="s">
        <v>164</v>
      </c>
      <c r="E2293">
        <v>3.88</v>
      </c>
    </row>
    <row r="2294" spans="1:5" ht="15" customHeight="1" x14ac:dyDescent="0.25">
      <c r="A2294">
        <v>842</v>
      </c>
      <c r="B2294" t="s">
        <v>161</v>
      </c>
      <c r="C2294">
        <v>899</v>
      </c>
      <c r="D2294" t="s">
        <v>165</v>
      </c>
      <c r="E2294">
        <v>2.19</v>
      </c>
    </row>
    <row r="2295" spans="1:5" ht="15" customHeight="1" x14ac:dyDescent="0.25">
      <c r="A2295">
        <v>842</v>
      </c>
      <c r="B2295" t="s">
        <v>161</v>
      </c>
      <c r="C2295">
        <v>1912</v>
      </c>
      <c r="D2295" t="s">
        <v>166</v>
      </c>
      <c r="E2295">
        <v>24.11</v>
      </c>
    </row>
    <row r="2296" spans="1:5" ht="15" customHeight="1" x14ac:dyDescent="0.25">
      <c r="A2296">
        <v>842</v>
      </c>
      <c r="B2296" t="s">
        <v>161</v>
      </c>
      <c r="C2296">
        <v>9999</v>
      </c>
      <c r="D2296" t="s">
        <v>117</v>
      </c>
      <c r="E2296">
        <v>3.44</v>
      </c>
    </row>
    <row r="2297" spans="1:5" ht="15" customHeight="1" x14ac:dyDescent="0.25">
      <c r="A2297">
        <v>847</v>
      </c>
      <c r="B2297" t="s">
        <v>162</v>
      </c>
      <c r="C2297">
        <v>1</v>
      </c>
      <c r="D2297" t="s">
        <v>117</v>
      </c>
      <c r="E2297">
        <v>2.13</v>
      </c>
    </row>
    <row r="2298" spans="1:5" ht="15" customHeight="1" x14ac:dyDescent="0.25">
      <c r="A2298">
        <v>847</v>
      </c>
      <c r="B2298" t="s">
        <v>162</v>
      </c>
      <c r="C2298">
        <v>3</v>
      </c>
      <c r="D2298" t="s">
        <v>118</v>
      </c>
      <c r="E2298">
        <v>60.26</v>
      </c>
    </row>
    <row r="2299" spans="1:5" ht="15" customHeight="1" x14ac:dyDescent="0.25">
      <c r="A2299">
        <v>847</v>
      </c>
      <c r="B2299" t="s">
        <v>162</v>
      </c>
      <c r="C2299">
        <v>5</v>
      </c>
      <c r="D2299" t="s">
        <v>119</v>
      </c>
      <c r="E2299">
        <v>107.73</v>
      </c>
    </row>
    <row r="2300" spans="1:5" ht="15" customHeight="1" x14ac:dyDescent="0.25">
      <c r="A2300">
        <v>847</v>
      </c>
      <c r="B2300" t="s">
        <v>162</v>
      </c>
      <c r="C2300">
        <v>11</v>
      </c>
      <c r="D2300" t="s">
        <v>120</v>
      </c>
      <c r="E2300">
        <v>86.49</v>
      </c>
    </row>
    <row r="2301" spans="1:5" ht="15" customHeight="1" x14ac:dyDescent="0.25">
      <c r="A2301">
        <v>847</v>
      </c>
      <c r="B2301" t="s">
        <v>162</v>
      </c>
      <c r="C2301">
        <v>12</v>
      </c>
      <c r="D2301" t="s">
        <v>121</v>
      </c>
      <c r="E2301">
        <v>56.8</v>
      </c>
    </row>
    <row r="2302" spans="1:5" ht="15" customHeight="1" x14ac:dyDescent="0.25">
      <c r="A2302">
        <v>847</v>
      </c>
      <c r="B2302" t="s">
        <v>162</v>
      </c>
      <c r="C2302">
        <v>29</v>
      </c>
      <c r="D2302" t="s">
        <v>122</v>
      </c>
      <c r="E2302">
        <v>118.77</v>
      </c>
    </row>
    <row r="2303" spans="1:5" ht="15" customHeight="1" x14ac:dyDescent="0.25">
      <c r="A2303">
        <v>847</v>
      </c>
      <c r="B2303" t="s">
        <v>162</v>
      </c>
      <c r="C2303">
        <v>70</v>
      </c>
      <c r="D2303" t="s">
        <v>123</v>
      </c>
      <c r="E2303">
        <v>82.84</v>
      </c>
    </row>
    <row r="2304" spans="1:5" ht="15" customHeight="1" x14ac:dyDescent="0.25">
      <c r="A2304">
        <v>847</v>
      </c>
      <c r="B2304" t="s">
        <v>162</v>
      </c>
      <c r="C2304">
        <v>71</v>
      </c>
      <c r="D2304" t="s">
        <v>124</v>
      </c>
      <c r="E2304">
        <v>125.59</v>
      </c>
    </row>
    <row r="2305" spans="1:5" ht="15" customHeight="1" x14ac:dyDescent="0.25">
      <c r="A2305">
        <v>847</v>
      </c>
      <c r="B2305" t="s">
        <v>162</v>
      </c>
      <c r="C2305">
        <v>384</v>
      </c>
      <c r="D2305" t="s">
        <v>125</v>
      </c>
      <c r="E2305">
        <v>1.33</v>
      </c>
    </row>
    <row r="2306" spans="1:5" ht="15" customHeight="1" x14ac:dyDescent="0.25">
      <c r="A2306">
        <v>847</v>
      </c>
      <c r="B2306" t="s">
        <v>162</v>
      </c>
      <c r="C2306">
        <v>429</v>
      </c>
      <c r="D2306" t="s">
        <v>126</v>
      </c>
      <c r="E2306">
        <v>69.53</v>
      </c>
    </row>
    <row r="2307" spans="1:5" ht="15" customHeight="1" x14ac:dyDescent="0.25">
      <c r="A2307">
        <v>847</v>
      </c>
      <c r="B2307" t="s">
        <v>162</v>
      </c>
      <c r="C2307">
        <v>486</v>
      </c>
      <c r="D2307" t="s">
        <v>127</v>
      </c>
      <c r="E2307">
        <v>68.67</v>
      </c>
    </row>
    <row r="2308" spans="1:5" ht="15" customHeight="1" x14ac:dyDescent="0.25">
      <c r="A2308">
        <v>847</v>
      </c>
      <c r="B2308" t="s">
        <v>162</v>
      </c>
      <c r="C2308">
        <v>546</v>
      </c>
      <c r="D2308" t="s">
        <v>128</v>
      </c>
      <c r="E2308">
        <v>74.48</v>
      </c>
    </row>
    <row r="2309" spans="1:5" ht="15" customHeight="1" x14ac:dyDescent="0.25">
      <c r="A2309">
        <v>847</v>
      </c>
      <c r="B2309" t="s">
        <v>162</v>
      </c>
      <c r="C2309">
        <v>599</v>
      </c>
      <c r="D2309" t="s">
        <v>129</v>
      </c>
      <c r="E2309">
        <v>7.27</v>
      </c>
    </row>
    <row r="2310" spans="1:5" ht="15" customHeight="1" x14ac:dyDescent="0.25">
      <c r="A2310">
        <v>847</v>
      </c>
      <c r="B2310" t="s">
        <v>162</v>
      </c>
      <c r="C2310">
        <v>620</v>
      </c>
      <c r="D2310" t="s">
        <v>130</v>
      </c>
      <c r="E2310">
        <v>39.83</v>
      </c>
    </row>
    <row r="2311" spans="1:5" ht="15" customHeight="1" x14ac:dyDescent="0.25">
      <c r="A2311">
        <v>847</v>
      </c>
      <c r="B2311" t="s">
        <v>162</v>
      </c>
      <c r="C2311">
        <v>626</v>
      </c>
      <c r="D2311" t="s">
        <v>131</v>
      </c>
      <c r="E2311">
        <v>4.72</v>
      </c>
    </row>
    <row r="2312" spans="1:5" ht="15" customHeight="1" x14ac:dyDescent="0.25">
      <c r="A2312">
        <v>847</v>
      </c>
      <c r="B2312" t="s">
        <v>162</v>
      </c>
      <c r="C2312">
        <v>627</v>
      </c>
      <c r="D2312" t="s">
        <v>132</v>
      </c>
      <c r="E2312">
        <v>4.4000000000000004</v>
      </c>
    </row>
    <row r="2313" spans="1:5" ht="15" customHeight="1" x14ac:dyDescent="0.25">
      <c r="A2313">
        <v>847</v>
      </c>
      <c r="B2313" t="s">
        <v>162</v>
      </c>
      <c r="C2313">
        <v>651</v>
      </c>
      <c r="D2313" t="s">
        <v>133</v>
      </c>
      <c r="E2313">
        <v>0.96</v>
      </c>
    </row>
    <row r="2314" spans="1:5" ht="15" customHeight="1" x14ac:dyDescent="0.25">
      <c r="A2314">
        <v>847</v>
      </c>
      <c r="B2314" t="s">
        <v>162</v>
      </c>
      <c r="C2314">
        <v>668</v>
      </c>
      <c r="D2314" t="s">
        <v>134</v>
      </c>
      <c r="E2314">
        <v>5.26</v>
      </c>
    </row>
    <row r="2315" spans="1:5" ht="15" customHeight="1" x14ac:dyDescent="0.25">
      <c r="A2315">
        <v>847</v>
      </c>
      <c r="B2315" t="s">
        <v>162</v>
      </c>
      <c r="C2315">
        <v>681</v>
      </c>
      <c r="D2315" t="s">
        <v>135</v>
      </c>
      <c r="E2315">
        <v>1.64</v>
      </c>
    </row>
    <row r="2316" spans="1:5" ht="15" customHeight="1" x14ac:dyDescent="0.25">
      <c r="A2316">
        <v>847</v>
      </c>
      <c r="B2316" t="s">
        <v>162</v>
      </c>
      <c r="C2316">
        <v>682</v>
      </c>
      <c r="D2316" t="s">
        <v>136</v>
      </c>
      <c r="E2316">
        <v>2.5299999999999998</v>
      </c>
    </row>
    <row r="2317" spans="1:5" ht="15" customHeight="1" x14ac:dyDescent="0.25">
      <c r="A2317">
        <v>847</v>
      </c>
      <c r="B2317" t="s">
        <v>162</v>
      </c>
      <c r="C2317">
        <v>683</v>
      </c>
      <c r="D2317" t="s">
        <v>137</v>
      </c>
      <c r="E2317">
        <v>1.87</v>
      </c>
    </row>
    <row r="2318" spans="1:5" ht="15" customHeight="1" x14ac:dyDescent="0.25">
      <c r="A2318">
        <v>847</v>
      </c>
      <c r="B2318" t="s">
        <v>162</v>
      </c>
      <c r="C2318">
        <v>684</v>
      </c>
      <c r="D2318" t="s">
        <v>138</v>
      </c>
      <c r="E2318">
        <v>2.77</v>
      </c>
    </row>
    <row r="2319" spans="1:5" ht="15" customHeight="1" x14ac:dyDescent="0.25">
      <c r="A2319">
        <v>847</v>
      </c>
      <c r="B2319" t="s">
        <v>162</v>
      </c>
      <c r="C2319">
        <v>685</v>
      </c>
      <c r="D2319" t="s">
        <v>139</v>
      </c>
      <c r="E2319">
        <v>1.53</v>
      </c>
    </row>
    <row r="2320" spans="1:5" ht="15" customHeight="1" x14ac:dyDescent="0.25">
      <c r="A2320">
        <v>847</v>
      </c>
      <c r="B2320" t="s">
        <v>162</v>
      </c>
      <c r="C2320">
        <v>691</v>
      </c>
      <c r="D2320" t="s">
        <v>140</v>
      </c>
      <c r="E2320">
        <v>1.9</v>
      </c>
    </row>
    <row r="2321" spans="1:5" ht="15" customHeight="1" x14ac:dyDescent="0.25">
      <c r="A2321">
        <v>847</v>
      </c>
      <c r="B2321" t="s">
        <v>162</v>
      </c>
      <c r="C2321">
        <v>706</v>
      </c>
      <c r="D2321" t="s">
        <v>141</v>
      </c>
      <c r="E2321">
        <v>0.95</v>
      </c>
    </row>
    <row r="2322" spans="1:5" ht="15" customHeight="1" x14ac:dyDescent="0.25">
      <c r="A2322">
        <v>847</v>
      </c>
      <c r="B2322" t="s">
        <v>162</v>
      </c>
      <c r="C2322">
        <v>713</v>
      </c>
      <c r="D2322" t="s">
        <v>142</v>
      </c>
      <c r="E2322">
        <v>3.84</v>
      </c>
    </row>
    <row r="2323" spans="1:5" ht="15" customHeight="1" x14ac:dyDescent="0.25">
      <c r="A2323">
        <v>847</v>
      </c>
      <c r="B2323" t="s">
        <v>162</v>
      </c>
      <c r="C2323">
        <v>718</v>
      </c>
      <c r="D2323" t="s">
        <v>143</v>
      </c>
      <c r="E2323">
        <v>3.5</v>
      </c>
    </row>
    <row r="2324" spans="1:5" ht="15" customHeight="1" x14ac:dyDescent="0.25">
      <c r="A2324">
        <v>847</v>
      </c>
      <c r="B2324" t="s">
        <v>162</v>
      </c>
      <c r="C2324">
        <v>731</v>
      </c>
      <c r="D2324" t="s">
        <v>144</v>
      </c>
      <c r="E2324">
        <v>32.11</v>
      </c>
    </row>
    <row r="2325" spans="1:5" ht="15" customHeight="1" x14ac:dyDescent="0.25">
      <c r="A2325">
        <v>847</v>
      </c>
      <c r="B2325" t="s">
        <v>162</v>
      </c>
      <c r="C2325">
        <v>743</v>
      </c>
      <c r="D2325" t="s">
        <v>145</v>
      </c>
      <c r="E2325">
        <v>14.19</v>
      </c>
    </row>
    <row r="2326" spans="1:5" ht="15" customHeight="1" x14ac:dyDescent="0.25">
      <c r="A2326">
        <v>847</v>
      </c>
      <c r="B2326" t="s">
        <v>162</v>
      </c>
      <c r="C2326">
        <v>760</v>
      </c>
      <c r="D2326" t="s">
        <v>146</v>
      </c>
      <c r="E2326">
        <v>1.81</v>
      </c>
    </row>
    <row r="2327" spans="1:5" ht="15" customHeight="1" x14ac:dyDescent="0.25">
      <c r="A2327">
        <v>847</v>
      </c>
      <c r="B2327" t="s">
        <v>162</v>
      </c>
      <c r="C2327">
        <v>765</v>
      </c>
      <c r="D2327" t="s">
        <v>147</v>
      </c>
      <c r="E2327">
        <v>5.7</v>
      </c>
    </row>
    <row r="2328" spans="1:5" ht="15" customHeight="1" x14ac:dyDescent="0.25">
      <c r="A2328">
        <v>847</v>
      </c>
      <c r="B2328" t="s">
        <v>162</v>
      </c>
      <c r="C2328">
        <v>766</v>
      </c>
      <c r="D2328" t="s">
        <v>148</v>
      </c>
      <c r="E2328">
        <v>2.59</v>
      </c>
    </row>
    <row r="2329" spans="1:5" ht="15" customHeight="1" x14ac:dyDescent="0.25">
      <c r="A2329">
        <v>847</v>
      </c>
      <c r="B2329" t="s">
        <v>162</v>
      </c>
      <c r="C2329">
        <v>767</v>
      </c>
      <c r="D2329" t="s">
        <v>149</v>
      </c>
      <c r="E2329">
        <v>4.72</v>
      </c>
    </row>
    <row r="2330" spans="1:5" ht="15" customHeight="1" x14ac:dyDescent="0.25">
      <c r="A2330">
        <v>847</v>
      </c>
      <c r="B2330" t="s">
        <v>162</v>
      </c>
      <c r="C2330">
        <v>795</v>
      </c>
      <c r="D2330" t="s">
        <v>150</v>
      </c>
      <c r="E2330">
        <v>1.82</v>
      </c>
    </row>
    <row r="2331" spans="1:5" ht="15" customHeight="1" x14ac:dyDescent="0.25">
      <c r="A2331">
        <v>847</v>
      </c>
      <c r="B2331" t="s">
        <v>162</v>
      </c>
      <c r="C2331">
        <v>798</v>
      </c>
      <c r="D2331" t="s">
        <v>151</v>
      </c>
      <c r="E2331">
        <v>3.45</v>
      </c>
    </row>
    <row r="2332" spans="1:5" ht="15" customHeight="1" x14ac:dyDescent="0.25">
      <c r="A2332">
        <v>847</v>
      </c>
      <c r="B2332" t="s">
        <v>162</v>
      </c>
      <c r="C2332">
        <v>799</v>
      </c>
      <c r="D2332" t="s">
        <v>152</v>
      </c>
      <c r="E2332">
        <v>4.76</v>
      </c>
    </row>
    <row r="2333" spans="1:5" ht="15" customHeight="1" x14ac:dyDescent="0.25">
      <c r="A2333">
        <v>847</v>
      </c>
      <c r="B2333" t="s">
        <v>162</v>
      </c>
      <c r="C2333">
        <v>811</v>
      </c>
      <c r="D2333" t="s">
        <v>153</v>
      </c>
      <c r="E2333">
        <v>6.95</v>
      </c>
    </row>
    <row r="2334" spans="1:5" ht="15" customHeight="1" x14ac:dyDescent="0.25">
      <c r="A2334">
        <v>847</v>
      </c>
      <c r="B2334" t="s">
        <v>162</v>
      </c>
      <c r="C2334">
        <v>820</v>
      </c>
      <c r="D2334" t="s">
        <v>154</v>
      </c>
      <c r="E2334">
        <v>2.64</v>
      </c>
    </row>
    <row r="2335" spans="1:5" ht="15" customHeight="1" x14ac:dyDescent="0.25">
      <c r="A2335">
        <v>847</v>
      </c>
      <c r="B2335" t="s">
        <v>162</v>
      </c>
      <c r="C2335">
        <v>830</v>
      </c>
      <c r="D2335" t="s">
        <v>155</v>
      </c>
      <c r="E2335">
        <v>2.65</v>
      </c>
    </row>
    <row r="2336" spans="1:5" ht="15" customHeight="1" x14ac:dyDescent="0.25">
      <c r="A2336">
        <v>847</v>
      </c>
      <c r="B2336" t="s">
        <v>162</v>
      </c>
      <c r="C2336">
        <v>831</v>
      </c>
      <c r="D2336" t="s">
        <v>156</v>
      </c>
      <c r="E2336">
        <v>9.43</v>
      </c>
    </row>
    <row r="2337" spans="1:5" ht="15" customHeight="1" x14ac:dyDescent="0.25">
      <c r="A2337">
        <v>847</v>
      </c>
      <c r="B2337" t="s">
        <v>162</v>
      </c>
      <c r="C2337">
        <v>832</v>
      </c>
      <c r="D2337" t="s">
        <v>157</v>
      </c>
      <c r="E2337">
        <v>3.01</v>
      </c>
    </row>
    <row r="2338" spans="1:5" ht="15" customHeight="1" x14ac:dyDescent="0.25">
      <c r="A2338">
        <v>847</v>
      </c>
      <c r="B2338" t="s">
        <v>162</v>
      </c>
      <c r="C2338">
        <v>833</v>
      </c>
      <c r="D2338" t="s">
        <v>158</v>
      </c>
      <c r="E2338">
        <v>2.86</v>
      </c>
    </row>
    <row r="2339" spans="1:5" ht="15" customHeight="1" x14ac:dyDescent="0.25">
      <c r="A2339">
        <v>847</v>
      </c>
      <c r="B2339" t="s">
        <v>162</v>
      </c>
      <c r="C2339">
        <v>840</v>
      </c>
      <c r="D2339" t="s">
        <v>159</v>
      </c>
      <c r="E2339">
        <v>5.18</v>
      </c>
    </row>
    <row r="2340" spans="1:5" ht="15" customHeight="1" x14ac:dyDescent="0.25">
      <c r="A2340">
        <v>847</v>
      </c>
      <c r="B2340" t="s">
        <v>162</v>
      </c>
      <c r="C2340">
        <v>841</v>
      </c>
      <c r="D2340" t="s">
        <v>160</v>
      </c>
      <c r="E2340">
        <v>0.51</v>
      </c>
    </row>
    <row r="2341" spans="1:5" ht="15" customHeight="1" x14ac:dyDescent="0.25">
      <c r="A2341">
        <v>847</v>
      </c>
      <c r="B2341" t="s">
        <v>162</v>
      </c>
      <c r="C2341">
        <v>842</v>
      </c>
      <c r="D2341" t="s">
        <v>161</v>
      </c>
      <c r="E2341">
        <v>5.44</v>
      </c>
    </row>
    <row r="2342" spans="1:5" ht="15" customHeight="1" x14ac:dyDescent="0.25">
      <c r="A2342">
        <v>847</v>
      </c>
      <c r="B2342" t="s">
        <v>162</v>
      </c>
      <c r="C2342">
        <v>847</v>
      </c>
      <c r="D2342" t="s">
        <v>162</v>
      </c>
      <c r="E2342">
        <v>0</v>
      </c>
    </row>
    <row r="2343" spans="1:5" ht="15" customHeight="1" x14ac:dyDescent="0.25">
      <c r="A2343">
        <v>847</v>
      </c>
      <c r="B2343" t="s">
        <v>162</v>
      </c>
      <c r="C2343">
        <v>877</v>
      </c>
      <c r="D2343" t="s">
        <v>163</v>
      </c>
      <c r="E2343">
        <v>22.61</v>
      </c>
    </row>
    <row r="2344" spans="1:5" ht="15" customHeight="1" x14ac:dyDescent="0.25">
      <c r="A2344">
        <v>847</v>
      </c>
      <c r="B2344" t="s">
        <v>162</v>
      </c>
      <c r="C2344">
        <v>898</v>
      </c>
      <c r="D2344" t="s">
        <v>164</v>
      </c>
      <c r="E2344">
        <v>5.95</v>
      </c>
    </row>
    <row r="2345" spans="1:5" ht="15" customHeight="1" x14ac:dyDescent="0.25">
      <c r="A2345">
        <v>847</v>
      </c>
      <c r="B2345" t="s">
        <v>162</v>
      </c>
      <c r="C2345">
        <v>899</v>
      </c>
      <c r="D2345" t="s">
        <v>165</v>
      </c>
      <c r="E2345">
        <v>5.67</v>
      </c>
    </row>
    <row r="2346" spans="1:5" ht="15" customHeight="1" x14ac:dyDescent="0.25">
      <c r="A2346">
        <v>847</v>
      </c>
      <c r="B2346" t="s">
        <v>162</v>
      </c>
      <c r="C2346">
        <v>1912</v>
      </c>
      <c r="D2346" t="s">
        <v>166</v>
      </c>
      <c r="E2346">
        <v>27.76</v>
      </c>
    </row>
    <row r="2347" spans="1:5" ht="15" customHeight="1" x14ac:dyDescent="0.25">
      <c r="A2347">
        <v>847</v>
      </c>
      <c r="B2347" t="s">
        <v>162</v>
      </c>
      <c r="C2347">
        <v>9999</v>
      </c>
      <c r="D2347" t="s">
        <v>117</v>
      </c>
      <c r="E2347">
        <v>2.13</v>
      </c>
    </row>
    <row r="2348" spans="1:5" ht="15" customHeight="1" x14ac:dyDescent="0.25">
      <c r="A2348">
        <v>877</v>
      </c>
      <c r="B2348" t="s">
        <v>163</v>
      </c>
      <c r="C2348">
        <v>1</v>
      </c>
      <c r="D2348" t="s">
        <v>117</v>
      </c>
      <c r="E2348">
        <v>20.91</v>
      </c>
    </row>
    <row r="2349" spans="1:5" ht="15" customHeight="1" x14ac:dyDescent="0.25">
      <c r="A2349">
        <v>877</v>
      </c>
      <c r="B2349" t="s">
        <v>163</v>
      </c>
      <c r="C2349">
        <v>3</v>
      </c>
      <c r="D2349" t="s">
        <v>118</v>
      </c>
      <c r="E2349">
        <v>37.68</v>
      </c>
    </row>
    <row r="2350" spans="1:5" ht="15" customHeight="1" x14ac:dyDescent="0.25">
      <c r="A2350">
        <v>877</v>
      </c>
      <c r="B2350" t="s">
        <v>163</v>
      </c>
      <c r="C2350">
        <v>5</v>
      </c>
      <c r="D2350" t="s">
        <v>119</v>
      </c>
      <c r="E2350">
        <v>85.31</v>
      </c>
    </row>
    <row r="2351" spans="1:5" ht="15" customHeight="1" x14ac:dyDescent="0.25">
      <c r="A2351">
        <v>877</v>
      </c>
      <c r="B2351" t="s">
        <v>163</v>
      </c>
      <c r="C2351">
        <v>11</v>
      </c>
      <c r="D2351" t="s">
        <v>120</v>
      </c>
      <c r="E2351">
        <v>67.19</v>
      </c>
    </row>
    <row r="2352" spans="1:5" ht="15" customHeight="1" x14ac:dyDescent="0.25">
      <c r="A2352">
        <v>877</v>
      </c>
      <c r="B2352" t="s">
        <v>163</v>
      </c>
      <c r="C2352">
        <v>12</v>
      </c>
      <c r="D2352" t="s">
        <v>121</v>
      </c>
      <c r="E2352">
        <v>48.89</v>
      </c>
    </row>
    <row r="2353" spans="1:5" ht="15" customHeight="1" x14ac:dyDescent="0.25">
      <c r="A2353">
        <v>877</v>
      </c>
      <c r="B2353" t="s">
        <v>163</v>
      </c>
      <c r="C2353">
        <v>29</v>
      </c>
      <c r="D2353" t="s">
        <v>122</v>
      </c>
      <c r="E2353">
        <v>135.75</v>
      </c>
    </row>
    <row r="2354" spans="1:5" ht="15" customHeight="1" x14ac:dyDescent="0.25">
      <c r="A2354">
        <v>877</v>
      </c>
      <c r="B2354" t="s">
        <v>163</v>
      </c>
      <c r="C2354">
        <v>70</v>
      </c>
      <c r="D2354" t="s">
        <v>123</v>
      </c>
      <c r="E2354">
        <v>84.53</v>
      </c>
    </row>
    <row r="2355" spans="1:5" ht="15" customHeight="1" x14ac:dyDescent="0.25">
      <c r="A2355">
        <v>877</v>
      </c>
      <c r="B2355" t="s">
        <v>163</v>
      </c>
      <c r="C2355">
        <v>71</v>
      </c>
      <c r="D2355" t="s">
        <v>124</v>
      </c>
      <c r="E2355">
        <v>140.34</v>
      </c>
    </row>
    <row r="2356" spans="1:5" ht="15" customHeight="1" x14ac:dyDescent="0.25">
      <c r="A2356">
        <v>877</v>
      </c>
      <c r="B2356" t="s">
        <v>163</v>
      </c>
      <c r="C2356">
        <v>384</v>
      </c>
      <c r="D2356" t="s">
        <v>125</v>
      </c>
      <c r="E2356">
        <v>21.72</v>
      </c>
    </row>
    <row r="2357" spans="1:5" ht="15" customHeight="1" x14ac:dyDescent="0.25">
      <c r="A2357">
        <v>877</v>
      </c>
      <c r="B2357" t="s">
        <v>163</v>
      </c>
      <c r="C2357">
        <v>429</v>
      </c>
      <c r="D2357" t="s">
        <v>126</v>
      </c>
      <c r="E2357">
        <v>84.81</v>
      </c>
    </row>
    <row r="2358" spans="1:5" ht="15" customHeight="1" x14ac:dyDescent="0.25">
      <c r="A2358">
        <v>877</v>
      </c>
      <c r="B2358" t="s">
        <v>163</v>
      </c>
      <c r="C2358">
        <v>486</v>
      </c>
      <c r="D2358" t="s">
        <v>127</v>
      </c>
      <c r="E2358">
        <v>55.1</v>
      </c>
    </row>
    <row r="2359" spans="1:5" ht="15" customHeight="1" x14ac:dyDescent="0.25">
      <c r="A2359">
        <v>877</v>
      </c>
      <c r="B2359" t="s">
        <v>163</v>
      </c>
      <c r="C2359">
        <v>546</v>
      </c>
      <c r="D2359" t="s">
        <v>128</v>
      </c>
      <c r="E2359">
        <v>53.04</v>
      </c>
    </row>
    <row r="2360" spans="1:5" ht="15" customHeight="1" x14ac:dyDescent="0.25">
      <c r="A2360">
        <v>877</v>
      </c>
      <c r="B2360" t="s">
        <v>163</v>
      </c>
      <c r="C2360">
        <v>599</v>
      </c>
      <c r="D2360" t="s">
        <v>129</v>
      </c>
      <c r="E2360">
        <v>16.41</v>
      </c>
    </row>
    <row r="2361" spans="1:5" ht="15" customHeight="1" x14ac:dyDescent="0.25">
      <c r="A2361">
        <v>877</v>
      </c>
      <c r="B2361" t="s">
        <v>163</v>
      </c>
      <c r="C2361">
        <v>620</v>
      </c>
      <c r="D2361" t="s">
        <v>130</v>
      </c>
      <c r="E2361">
        <v>62.38</v>
      </c>
    </row>
    <row r="2362" spans="1:5" ht="15" customHeight="1" x14ac:dyDescent="0.25">
      <c r="A2362">
        <v>877</v>
      </c>
      <c r="B2362" t="s">
        <v>163</v>
      </c>
      <c r="C2362">
        <v>626</v>
      </c>
      <c r="D2362" t="s">
        <v>131</v>
      </c>
      <c r="E2362">
        <v>17.95</v>
      </c>
    </row>
    <row r="2363" spans="1:5" ht="15" customHeight="1" x14ac:dyDescent="0.25">
      <c r="A2363">
        <v>877</v>
      </c>
      <c r="B2363" t="s">
        <v>163</v>
      </c>
      <c r="C2363">
        <v>627</v>
      </c>
      <c r="D2363" t="s">
        <v>132</v>
      </c>
      <c r="E2363">
        <v>25.55</v>
      </c>
    </row>
    <row r="2364" spans="1:5" ht="15" customHeight="1" x14ac:dyDescent="0.25">
      <c r="A2364">
        <v>877</v>
      </c>
      <c r="B2364" t="s">
        <v>163</v>
      </c>
      <c r="C2364">
        <v>651</v>
      </c>
      <c r="D2364" t="s">
        <v>133</v>
      </c>
      <c r="E2364">
        <v>23.31</v>
      </c>
    </row>
    <row r="2365" spans="1:5" ht="15" customHeight="1" x14ac:dyDescent="0.25">
      <c r="A2365">
        <v>877</v>
      </c>
      <c r="B2365" t="s">
        <v>163</v>
      </c>
      <c r="C2365">
        <v>668</v>
      </c>
      <c r="D2365" t="s">
        <v>134</v>
      </c>
      <c r="E2365">
        <v>17.8</v>
      </c>
    </row>
    <row r="2366" spans="1:5" ht="15" customHeight="1" x14ac:dyDescent="0.25">
      <c r="A2366">
        <v>877</v>
      </c>
      <c r="B2366" t="s">
        <v>163</v>
      </c>
      <c r="C2366">
        <v>681</v>
      </c>
      <c r="D2366" t="s">
        <v>135</v>
      </c>
      <c r="E2366">
        <v>22.5</v>
      </c>
    </row>
    <row r="2367" spans="1:5" ht="15" customHeight="1" x14ac:dyDescent="0.25">
      <c r="A2367">
        <v>877</v>
      </c>
      <c r="B2367" t="s">
        <v>163</v>
      </c>
      <c r="C2367">
        <v>682</v>
      </c>
      <c r="D2367" t="s">
        <v>136</v>
      </c>
      <c r="E2367">
        <v>21.03</v>
      </c>
    </row>
    <row r="2368" spans="1:5" ht="15" customHeight="1" x14ac:dyDescent="0.25">
      <c r="A2368">
        <v>877</v>
      </c>
      <c r="B2368" t="s">
        <v>163</v>
      </c>
      <c r="C2368">
        <v>683</v>
      </c>
      <c r="D2368" t="s">
        <v>137</v>
      </c>
      <c r="E2368">
        <v>21.42</v>
      </c>
    </row>
    <row r="2369" spans="1:5" ht="15" customHeight="1" x14ac:dyDescent="0.25">
      <c r="A2369">
        <v>877</v>
      </c>
      <c r="B2369" t="s">
        <v>163</v>
      </c>
      <c r="C2369">
        <v>684</v>
      </c>
      <c r="D2369" t="s">
        <v>138</v>
      </c>
      <c r="E2369">
        <v>19.87</v>
      </c>
    </row>
    <row r="2370" spans="1:5" ht="15" customHeight="1" x14ac:dyDescent="0.25">
      <c r="A2370">
        <v>877</v>
      </c>
      <c r="B2370" t="s">
        <v>163</v>
      </c>
      <c r="C2370">
        <v>685</v>
      </c>
      <c r="D2370" t="s">
        <v>139</v>
      </c>
      <c r="E2370">
        <v>21.2</v>
      </c>
    </row>
    <row r="2371" spans="1:5" ht="15" customHeight="1" x14ac:dyDescent="0.25">
      <c r="A2371">
        <v>877</v>
      </c>
      <c r="B2371" t="s">
        <v>163</v>
      </c>
      <c r="C2371">
        <v>691</v>
      </c>
      <c r="D2371" t="s">
        <v>140</v>
      </c>
      <c r="E2371">
        <v>22.03</v>
      </c>
    </row>
    <row r="2372" spans="1:5" ht="15" customHeight="1" x14ac:dyDescent="0.25">
      <c r="A2372">
        <v>877</v>
      </c>
      <c r="B2372" t="s">
        <v>163</v>
      </c>
      <c r="C2372">
        <v>706</v>
      </c>
      <c r="D2372" t="s">
        <v>141</v>
      </c>
      <c r="E2372">
        <v>22.9</v>
      </c>
    </row>
    <row r="2373" spans="1:5" ht="15" customHeight="1" x14ac:dyDescent="0.25">
      <c r="A2373">
        <v>877</v>
      </c>
      <c r="B2373" t="s">
        <v>163</v>
      </c>
      <c r="C2373">
        <v>713</v>
      </c>
      <c r="D2373" t="s">
        <v>142</v>
      </c>
      <c r="E2373">
        <v>19.43</v>
      </c>
    </row>
    <row r="2374" spans="1:5" ht="15" customHeight="1" x14ac:dyDescent="0.25">
      <c r="A2374">
        <v>877</v>
      </c>
      <c r="B2374" t="s">
        <v>163</v>
      </c>
      <c r="C2374">
        <v>718</v>
      </c>
      <c r="D2374" t="s">
        <v>143</v>
      </c>
      <c r="E2374">
        <v>23.15</v>
      </c>
    </row>
    <row r="2375" spans="1:5" ht="15" customHeight="1" x14ac:dyDescent="0.25">
      <c r="A2375">
        <v>877</v>
      </c>
      <c r="B2375" t="s">
        <v>163</v>
      </c>
      <c r="C2375">
        <v>731</v>
      </c>
      <c r="D2375" t="s">
        <v>144</v>
      </c>
      <c r="E2375">
        <v>9.51</v>
      </c>
    </row>
    <row r="2376" spans="1:5" ht="15" customHeight="1" x14ac:dyDescent="0.25">
      <c r="A2376">
        <v>877</v>
      </c>
      <c r="B2376" t="s">
        <v>163</v>
      </c>
      <c r="C2376">
        <v>743</v>
      </c>
      <c r="D2376" t="s">
        <v>145</v>
      </c>
      <c r="E2376">
        <v>21.43</v>
      </c>
    </row>
    <row r="2377" spans="1:5" ht="15" customHeight="1" x14ac:dyDescent="0.25">
      <c r="A2377">
        <v>877</v>
      </c>
      <c r="B2377" t="s">
        <v>163</v>
      </c>
      <c r="C2377">
        <v>760</v>
      </c>
      <c r="D2377" t="s">
        <v>146</v>
      </c>
      <c r="E2377">
        <v>21.3</v>
      </c>
    </row>
    <row r="2378" spans="1:5" ht="15" customHeight="1" x14ac:dyDescent="0.25">
      <c r="A2378">
        <v>877</v>
      </c>
      <c r="B2378" t="s">
        <v>163</v>
      </c>
      <c r="C2378">
        <v>765</v>
      </c>
      <c r="D2378" t="s">
        <v>147</v>
      </c>
      <c r="E2378">
        <v>16.989999999999998</v>
      </c>
    </row>
    <row r="2379" spans="1:5" ht="15" customHeight="1" x14ac:dyDescent="0.25">
      <c r="A2379">
        <v>877</v>
      </c>
      <c r="B2379" t="s">
        <v>163</v>
      </c>
      <c r="C2379">
        <v>766</v>
      </c>
      <c r="D2379" t="s">
        <v>148</v>
      </c>
      <c r="E2379">
        <v>22.21</v>
      </c>
    </row>
    <row r="2380" spans="1:5" ht="15" customHeight="1" x14ac:dyDescent="0.25">
      <c r="A2380">
        <v>877</v>
      </c>
      <c r="B2380" t="s">
        <v>163</v>
      </c>
      <c r="C2380">
        <v>767</v>
      </c>
      <c r="D2380" t="s">
        <v>149</v>
      </c>
      <c r="E2380">
        <v>27.19</v>
      </c>
    </row>
    <row r="2381" spans="1:5" ht="15" customHeight="1" x14ac:dyDescent="0.25">
      <c r="A2381">
        <v>877</v>
      </c>
      <c r="B2381" t="s">
        <v>163</v>
      </c>
      <c r="C2381">
        <v>795</v>
      </c>
      <c r="D2381" t="s">
        <v>150</v>
      </c>
      <c r="E2381">
        <v>20.79</v>
      </c>
    </row>
    <row r="2382" spans="1:5" ht="15" customHeight="1" x14ac:dyDescent="0.25">
      <c r="A2382">
        <v>877</v>
      </c>
      <c r="B2382" t="s">
        <v>163</v>
      </c>
      <c r="C2382">
        <v>798</v>
      </c>
      <c r="D2382" t="s">
        <v>151</v>
      </c>
      <c r="E2382">
        <v>21.77</v>
      </c>
    </row>
    <row r="2383" spans="1:5" ht="15" customHeight="1" x14ac:dyDescent="0.25">
      <c r="A2383">
        <v>877</v>
      </c>
      <c r="B2383" t="s">
        <v>163</v>
      </c>
      <c r="C2383">
        <v>799</v>
      </c>
      <c r="D2383" t="s">
        <v>152</v>
      </c>
      <c r="E2383">
        <v>17.86</v>
      </c>
    </row>
    <row r="2384" spans="1:5" ht="15" customHeight="1" x14ac:dyDescent="0.25">
      <c r="A2384">
        <v>877</v>
      </c>
      <c r="B2384" t="s">
        <v>163</v>
      </c>
      <c r="C2384">
        <v>811</v>
      </c>
      <c r="D2384" t="s">
        <v>153</v>
      </c>
      <c r="E2384">
        <v>22.83</v>
      </c>
    </row>
    <row r="2385" spans="1:5" ht="15" customHeight="1" x14ac:dyDescent="0.25">
      <c r="A2385">
        <v>877</v>
      </c>
      <c r="B2385" t="s">
        <v>163</v>
      </c>
      <c r="C2385">
        <v>820</v>
      </c>
      <c r="D2385" t="s">
        <v>154</v>
      </c>
      <c r="E2385">
        <v>21.15</v>
      </c>
    </row>
    <row r="2386" spans="1:5" ht="15" customHeight="1" x14ac:dyDescent="0.25">
      <c r="A2386">
        <v>877</v>
      </c>
      <c r="B2386" t="s">
        <v>163</v>
      </c>
      <c r="C2386">
        <v>830</v>
      </c>
      <c r="D2386" t="s">
        <v>155</v>
      </c>
      <c r="E2386">
        <v>21.62</v>
      </c>
    </row>
    <row r="2387" spans="1:5" ht="15" customHeight="1" x14ac:dyDescent="0.25">
      <c r="A2387">
        <v>877</v>
      </c>
      <c r="B2387" t="s">
        <v>163</v>
      </c>
      <c r="C2387">
        <v>831</v>
      </c>
      <c r="D2387" t="s">
        <v>156</v>
      </c>
      <c r="E2387">
        <v>14.04</v>
      </c>
    </row>
    <row r="2388" spans="1:5" ht="15" customHeight="1" x14ac:dyDescent="0.25">
      <c r="A2388">
        <v>877</v>
      </c>
      <c r="B2388" t="s">
        <v>163</v>
      </c>
      <c r="C2388">
        <v>832</v>
      </c>
      <c r="D2388" t="s">
        <v>157</v>
      </c>
      <c r="E2388">
        <v>20.84</v>
      </c>
    </row>
    <row r="2389" spans="1:5" ht="15" customHeight="1" x14ac:dyDescent="0.25">
      <c r="A2389">
        <v>877</v>
      </c>
      <c r="B2389" t="s">
        <v>163</v>
      </c>
      <c r="C2389">
        <v>833</v>
      </c>
      <c r="D2389" t="s">
        <v>158</v>
      </c>
      <c r="E2389">
        <v>19.79</v>
      </c>
    </row>
    <row r="2390" spans="1:5" ht="15" customHeight="1" x14ac:dyDescent="0.25">
      <c r="A2390">
        <v>877</v>
      </c>
      <c r="B2390" t="s">
        <v>163</v>
      </c>
      <c r="C2390">
        <v>840</v>
      </c>
      <c r="D2390" t="s">
        <v>159</v>
      </c>
      <c r="E2390">
        <v>20.260000000000002</v>
      </c>
    </row>
    <row r="2391" spans="1:5" ht="15" customHeight="1" x14ac:dyDescent="0.25">
      <c r="A2391">
        <v>877</v>
      </c>
      <c r="B2391" t="s">
        <v>163</v>
      </c>
      <c r="C2391">
        <v>841</v>
      </c>
      <c r="D2391" t="s">
        <v>160</v>
      </c>
      <c r="E2391">
        <v>22.17</v>
      </c>
    </row>
    <row r="2392" spans="1:5" ht="15" customHeight="1" x14ac:dyDescent="0.25">
      <c r="A2392">
        <v>877</v>
      </c>
      <c r="B2392" t="s">
        <v>163</v>
      </c>
      <c r="C2392">
        <v>842</v>
      </c>
      <c r="D2392" t="s">
        <v>161</v>
      </c>
      <c r="E2392">
        <v>19.61</v>
      </c>
    </row>
    <row r="2393" spans="1:5" ht="15" customHeight="1" x14ac:dyDescent="0.25">
      <c r="A2393">
        <v>877</v>
      </c>
      <c r="B2393" t="s">
        <v>163</v>
      </c>
      <c r="C2393">
        <v>847</v>
      </c>
      <c r="D2393" t="s">
        <v>162</v>
      </c>
      <c r="E2393">
        <v>22.61</v>
      </c>
    </row>
    <row r="2394" spans="1:5" ht="15" customHeight="1" x14ac:dyDescent="0.25">
      <c r="A2394">
        <v>877</v>
      </c>
      <c r="B2394" t="s">
        <v>163</v>
      </c>
      <c r="C2394">
        <v>877</v>
      </c>
      <c r="D2394" t="s">
        <v>163</v>
      </c>
      <c r="E2394">
        <v>0</v>
      </c>
    </row>
    <row r="2395" spans="1:5" ht="15" customHeight="1" x14ac:dyDescent="0.25">
      <c r="A2395">
        <v>877</v>
      </c>
      <c r="B2395" t="s">
        <v>163</v>
      </c>
      <c r="C2395">
        <v>898</v>
      </c>
      <c r="D2395" t="s">
        <v>164</v>
      </c>
      <c r="E2395">
        <v>16.809999999999999</v>
      </c>
    </row>
    <row r="2396" spans="1:5" ht="15" customHeight="1" x14ac:dyDescent="0.25">
      <c r="A2396">
        <v>877</v>
      </c>
      <c r="B2396" t="s">
        <v>163</v>
      </c>
      <c r="C2396">
        <v>899</v>
      </c>
      <c r="D2396" t="s">
        <v>165</v>
      </c>
      <c r="E2396">
        <v>21.66</v>
      </c>
    </row>
    <row r="2397" spans="1:5" ht="15" customHeight="1" x14ac:dyDescent="0.25">
      <c r="A2397">
        <v>877</v>
      </c>
      <c r="B2397" t="s">
        <v>163</v>
      </c>
      <c r="C2397">
        <v>1912</v>
      </c>
      <c r="D2397" t="s">
        <v>166</v>
      </c>
      <c r="E2397">
        <v>5.98</v>
      </c>
    </row>
    <row r="2398" spans="1:5" ht="15" customHeight="1" x14ac:dyDescent="0.25">
      <c r="A2398">
        <v>877</v>
      </c>
      <c r="B2398" t="s">
        <v>163</v>
      </c>
      <c r="C2398">
        <v>9999</v>
      </c>
      <c r="D2398" t="s">
        <v>117</v>
      </c>
      <c r="E2398">
        <v>20.91</v>
      </c>
    </row>
    <row r="2399" spans="1:5" ht="15" customHeight="1" x14ac:dyDescent="0.25">
      <c r="A2399">
        <v>898</v>
      </c>
      <c r="B2399" t="s">
        <v>164</v>
      </c>
      <c r="C2399">
        <v>1</v>
      </c>
      <c r="D2399" t="s">
        <v>117</v>
      </c>
      <c r="E2399">
        <v>4.0999999999999996</v>
      </c>
    </row>
    <row r="2400" spans="1:5" ht="15" customHeight="1" x14ac:dyDescent="0.25">
      <c r="A2400">
        <v>898</v>
      </c>
      <c r="B2400" t="s">
        <v>164</v>
      </c>
      <c r="C2400">
        <v>3</v>
      </c>
      <c r="D2400" t="s">
        <v>118</v>
      </c>
      <c r="E2400">
        <v>54.38</v>
      </c>
    </row>
    <row r="2401" spans="1:5" ht="15" customHeight="1" x14ac:dyDescent="0.25">
      <c r="A2401">
        <v>898</v>
      </c>
      <c r="B2401" t="s">
        <v>164</v>
      </c>
      <c r="C2401">
        <v>5</v>
      </c>
      <c r="D2401" t="s">
        <v>119</v>
      </c>
      <c r="E2401">
        <v>101.79</v>
      </c>
    </row>
    <row r="2402" spans="1:5" ht="15" customHeight="1" x14ac:dyDescent="0.25">
      <c r="A2402">
        <v>898</v>
      </c>
      <c r="B2402" t="s">
        <v>164</v>
      </c>
      <c r="C2402">
        <v>11</v>
      </c>
      <c r="D2402" t="s">
        <v>120</v>
      </c>
      <c r="E2402">
        <v>81.900000000000006</v>
      </c>
    </row>
    <row r="2403" spans="1:5" ht="15" customHeight="1" x14ac:dyDescent="0.25">
      <c r="A2403">
        <v>898</v>
      </c>
      <c r="B2403" t="s">
        <v>164</v>
      </c>
      <c r="C2403">
        <v>12</v>
      </c>
      <c r="D2403" t="s">
        <v>121</v>
      </c>
      <c r="E2403">
        <v>52.94</v>
      </c>
    </row>
    <row r="2404" spans="1:5" ht="15" customHeight="1" x14ac:dyDescent="0.25">
      <c r="A2404">
        <v>898</v>
      </c>
      <c r="B2404" t="s">
        <v>164</v>
      </c>
      <c r="C2404">
        <v>29</v>
      </c>
      <c r="D2404" t="s">
        <v>122</v>
      </c>
      <c r="E2404">
        <v>123.77</v>
      </c>
    </row>
    <row r="2405" spans="1:5" ht="15" customHeight="1" x14ac:dyDescent="0.25">
      <c r="A2405">
        <v>898</v>
      </c>
      <c r="B2405" t="s">
        <v>164</v>
      </c>
      <c r="C2405">
        <v>70</v>
      </c>
      <c r="D2405" t="s">
        <v>123</v>
      </c>
      <c r="E2405">
        <v>81.540000000000006</v>
      </c>
    </row>
    <row r="2406" spans="1:5" ht="15" customHeight="1" x14ac:dyDescent="0.25">
      <c r="A2406">
        <v>898</v>
      </c>
      <c r="B2406" t="s">
        <v>164</v>
      </c>
      <c r="C2406">
        <v>71</v>
      </c>
      <c r="D2406" t="s">
        <v>124</v>
      </c>
      <c r="E2406">
        <v>128.29</v>
      </c>
    </row>
    <row r="2407" spans="1:5" ht="15" customHeight="1" x14ac:dyDescent="0.25">
      <c r="A2407">
        <v>898</v>
      </c>
      <c r="B2407" t="s">
        <v>164</v>
      </c>
      <c r="C2407">
        <v>384</v>
      </c>
      <c r="D2407" t="s">
        <v>125</v>
      </c>
      <c r="E2407">
        <v>4.9400000000000004</v>
      </c>
    </row>
    <row r="2408" spans="1:5" ht="15" customHeight="1" x14ac:dyDescent="0.25">
      <c r="A2408">
        <v>898</v>
      </c>
      <c r="B2408" t="s">
        <v>164</v>
      </c>
      <c r="C2408">
        <v>429</v>
      </c>
      <c r="D2408" t="s">
        <v>126</v>
      </c>
      <c r="E2408">
        <v>72.23</v>
      </c>
    </row>
    <row r="2409" spans="1:5" ht="15" customHeight="1" x14ac:dyDescent="0.25">
      <c r="A2409">
        <v>898</v>
      </c>
      <c r="B2409" t="s">
        <v>164</v>
      </c>
      <c r="C2409">
        <v>486</v>
      </c>
      <c r="D2409" t="s">
        <v>127</v>
      </c>
      <c r="E2409">
        <v>63.83</v>
      </c>
    </row>
    <row r="2410" spans="1:5" ht="15" customHeight="1" x14ac:dyDescent="0.25">
      <c r="A2410">
        <v>898</v>
      </c>
      <c r="B2410" t="s">
        <v>164</v>
      </c>
      <c r="C2410">
        <v>546</v>
      </c>
      <c r="D2410" t="s">
        <v>128</v>
      </c>
      <c r="E2410">
        <v>68.540000000000006</v>
      </c>
    </row>
    <row r="2411" spans="1:5" ht="15" customHeight="1" x14ac:dyDescent="0.25">
      <c r="A2411">
        <v>898</v>
      </c>
      <c r="B2411" t="s">
        <v>164</v>
      </c>
      <c r="C2411">
        <v>599</v>
      </c>
      <c r="D2411" t="s">
        <v>129</v>
      </c>
      <c r="E2411">
        <v>2.17</v>
      </c>
    </row>
    <row r="2412" spans="1:5" ht="15" customHeight="1" x14ac:dyDescent="0.25">
      <c r="A2412">
        <v>898</v>
      </c>
      <c r="B2412" t="s">
        <v>164</v>
      </c>
      <c r="C2412">
        <v>620</v>
      </c>
      <c r="D2412" t="s">
        <v>130</v>
      </c>
      <c r="E2412">
        <v>45.58</v>
      </c>
    </row>
    <row r="2413" spans="1:5" ht="15" customHeight="1" x14ac:dyDescent="0.25">
      <c r="A2413">
        <v>898</v>
      </c>
      <c r="B2413" t="s">
        <v>164</v>
      </c>
      <c r="C2413">
        <v>626</v>
      </c>
      <c r="D2413" t="s">
        <v>131</v>
      </c>
      <c r="E2413">
        <v>2.16</v>
      </c>
    </row>
    <row r="2414" spans="1:5" ht="15" customHeight="1" x14ac:dyDescent="0.25">
      <c r="A2414">
        <v>898</v>
      </c>
      <c r="B2414" t="s">
        <v>164</v>
      </c>
      <c r="C2414">
        <v>627</v>
      </c>
      <c r="D2414" t="s">
        <v>132</v>
      </c>
      <c r="E2414">
        <v>8.86</v>
      </c>
    </row>
    <row r="2415" spans="1:5" ht="15" customHeight="1" x14ac:dyDescent="0.25">
      <c r="A2415">
        <v>898</v>
      </c>
      <c r="B2415" t="s">
        <v>164</v>
      </c>
      <c r="C2415">
        <v>651</v>
      </c>
      <c r="D2415" t="s">
        <v>133</v>
      </c>
      <c r="E2415">
        <v>6.54</v>
      </c>
    </row>
    <row r="2416" spans="1:5" ht="15" customHeight="1" x14ac:dyDescent="0.25">
      <c r="A2416">
        <v>898</v>
      </c>
      <c r="B2416" t="s">
        <v>164</v>
      </c>
      <c r="C2416">
        <v>668</v>
      </c>
      <c r="D2416" t="s">
        <v>134</v>
      </c>
      <c r="E2416">
        <v>1.2</v>
      </c>
    </row>
    <row r="2417" spans="1:5" ht="15" customHeight="1" x14ac:dyDescent="0.25">
      <c r="A2417">
        <v>898</v>
      </c>
      <c r="B2417" t="s">
        <v>164</v>
      </c>
      <c r="C2417">
        <v>681</v>
      </c>
      <c r="D2417" t="s">
        <v>135</v>
      </c>
      <c r="E2417">
        <v>6.31</v>
      </c>
    </row>
    <row r="2418" spans="1:5" ht="15" customHeight="1" x14ac:dyDescent="0.25">
      <c r="A2418">
        <v>898</v>
      </c>
      <c r="B2418" t="s">
        <v>164</v>
      </c>
      <c r="C2418">
        <v>682</v>
      </c>
      <c r="D2418" t="s">
        <v>136</v>
      </c>
      <c r="E2418">
        <v>4.24</v>
      </c>
    </row>
    <row r="2419" spans="1:5" ht="15" customHeight="1" x14ac:dyDescent="0.25">
      <c r="A2419">
        <v>898</v>
      </c>
      <c r="B2419" t="s">
        <v>164</v>
      </c>
      <c r="C2419">
        <v>683</v>
      </c>
      <c r="D2419" t="s">
        <v>137</v>
      </c>
      <c r="E2419">
        <v>4.6100000000000003</v>
      </c>
    </row>
    <row r="2420" spans="1:5" ht="15" customHeight="1" x14ac:dyDescent="0.25">
      <c r="A2420">
        <v>898</v>
      </c>
      <c r="B2420" t="s">
        <v>164</v>
      </c>
      <c r="C2420">
        <v>684</v>
      </c>
      <c r="D2420" t="s">
        <v>138</v>
      </c>
      <c r="E2420">
        <v>3.2</v>
      </c>
    </row>
    <row r="2421" spans="1:5" ht="15" customHeight="1" x14ac:dyDescent="0.25">
      <c r="A2421">
        <v>898</v>
      </c>
      <c r="B2421" t="s">
        <v>164</v>
      </c>
      <c r="C2421">
        <v>685</v>
      </c>
      <c r="D2421" t="s">
        <v>139</v>
      </c>
      <c r="E2421">
        <v>4.75</v>
      </c>
    </row>
    <row r="2422" spans="1:5" ht="15" customHeight="1" x14ac:dyDescent="0.25">
      <c r="A2422">
        <v>898</v>
      </c>
      <c r="B2422" t="s">
        <v>164</v>
      </c>
      <c r="C2422">
        <v>691</v>
      </c>
      <c r="D2422" t="s">
        <v>140</v>
      </c>
      <c r="E2422">
        <v>5.96</v>
      </c>
    </row>
    <row r="2423" spans="1:5" ht="15" customHeight="1" x14ac:dyDescent="0.25">
      <c r="A2423">
        <v>898</v>
      </c>
      <c r="B2423" t="s">
        <v>164</v>
      </c>
      <c r="C2423">
        <v>706</v>
      </c>
      <c r="D2423" t="s">
        <v>141</v>
      </c>
      <c r="E2423">
        <v>6.12</v>
      </c>
    </row>
    <row r="2424" spans="1:5" ht="15" customHeight="1" x14ac:dyDescent="0.25">
      <c r="A2424">
        <v>898</v>
      </c>
      <c r="B2424" t="s">
        <v>164</v>
      </c>
      <c r="C2424">
        <v>713</v>
      </c>
      <c r="D2424" t="s">
        <v>142</v>
      </c>
      <c r="E2424">
        <v>2.69</v>
      </c>
    </row>
    <row r="2425" spans="1:5" ht="15" customHeight="1" x14ac:dyDescent="0.25">
      <c r="A2425">
        <v>898</v>
      </c>
      <c r="B2425" t="s">
        <v>164</v>
      </c>
      <c r="C2425">
        <v>718</v>
      </c>
      <c r="D2425" t="s">
        <v>143</v>
      </c>
      <c r="E2425">
        <v>6.55</v>
      </c>
    </row>
    <row r="2426" spans="1:5" ht="15" customHeight="1" x14ac:dyDescent="0.25">
      <c r="A2426">
        <v>898</v>
      </c>
      <c r="B2426" t="s">
        <v>164</v>
      </c>
      <c r="C2426">
        <v>731</v>
      </c>
      <c r="D2426" t="s">
        <v>144</v>
      </c>
      <c r="E2426">
        <v>26.27</v>
      </c>
    </row>
    <row r="2427" spans="1:5" ht="15" customHeight="1" x14ac:dyDescent="0.25">
      <c r="A2427">
        <v>898</v>
      </c>
      <c r="B2427" t="s">
        <v>164</v>
      </c>
      <c r="C2427">
        <v>743</v>
      </c>
      <c r="D2427" t="s">
        <v>145</v>
      </c>
      <c r="E2427">
        <v>14.19</v>
      </c>
    </row>
    <row r="2428" spans="1:5" ht="15" customHeight="1" x14ac:dyDescent="0.25">
      <c r="A2428">
        <v>898</v>
      </c>
      <c r="B2428" t="s">
        <v>164</v>
      </c>
      <c r="C2428">
        <v>760</v>
      </c>
      <c r="D2428" t="s">
        <v>146</v>
      </c>
      <c r="E2428">
        <v>5.08</v>
      </c>
    </row>
    <row r="2429" spans="1:5" ht="15" customHeight="1" x14ac:dyDescent="0.25">
      <c r="A2429">
        <v>898</v>
      </c>
      <c r="B2429" t="s">
        <v>164</v>
      </c>
      <c r="C2429">
        <v>765</v>
      </c>
      <c r="D2429" t="s">
        <v>147</v>
      </c>
      <c r="E2429">
        <v>1.96</v>
      </c>
    </row>
    <row r="2430" spans="1:5" ht="15" customHeight="1" x14ac:dyDescent="0.25">
      <c r="A2430">
        <v>898</v>
      </c>
      <c r="B2430" t="s">
        <v>164</v>
      </c>
      <c r="C2430">
        <v>766</v>
      </c>
      <c r="D2430" t="s">
        <v>148</v>
      </c>
      <c r="E2430">
        <v>5.47</v>
      </c>
    </row>
    <row r="2431" spans="1:5" ht="15" customHeight="1" x14ac:dyDescent="0.25">
      <c r="A2431">
        <v>898</v>
      </c>
      <c r="B2431" t="s">
        <v>164</v>
      </c>
      <c r="C2431">
        <v>767</v>
      </c>
      <c r="D2431" t="s">
        <v>149</v>
      </c>
      <c r="E2431">
        <v>10.39</v>
      </c>
    </row>
    <row r="2432" spans="1:5" ht="15" customHeight="1" x14ac:dyDescent="0.25">
      <c r="A2432">
        <v>898</v>
      </c>
      <c r="B2432" t="s">
        <v>164</v>
      </c>
      <c r="C2432">
        <v>795</v>
      </c>
      <c r="D2432" t="s">
        <v>150</v>
      </c>
      <c r="E2432">
        <v>4.2300000000000004</v>
      </c>
    </row>
    <row r="2433" spans="1:5" ht="15" customHeight="1" x14ac:dyDescent="0.25">
      <c r="A2433">
        <v>898</v>
      </c>
      <c r="B2433" t="s">
        <v>164</v>
      </c>
      <c r="C2433">
        <v>798</v>
      </c>
      <c r="D2433" t="s">
        <v>151</v>
      </c>
      <c r="E2433">
        <v>6.49</v>
      </c>
    </row>
    <row r="2434" spans="1:5" ht="15" customHeight="1" x14ac:dyDescent="0.25">
      <c r="A2434">
        <v>898</v>
      </c>
      <c r="B2434" t="s">
        <v>164</v>
      </c>
      <c r="C2434">
        <v>799</v>
      </c>
      <c r="D2434" t="s">
        <v>152</v>
      </c>
      <c r="E2434">
        <v>1.43</v>
      </c>
    </row>
    <row r="2435" spans="1:5" ht="15" customHeight="1" x14ac:dyDescent="0.25">
      <c r="A2435">
        <v>898</v>
      </c>
      <c r="B2435" t="s">
        <v>164</v>
      </c>
      <c r="C2435">
        <v>811</v>
      </c>
      <c r="D2435" t="s">
        <v>153</v>
      </c>
      <c r="E2435">
        <v>7.62</v>
      </c>
    </row>
    <row r="2436" spans="1:5" ht="15" customHeight="1" x14ac:dyDescent="0.25">
      <c r="A2436">
        <v>898</v>
      </c>
      <c r="B2436" t="s">
        <v>164</v>
      </c>
      <c r="C2436">
        <v>820</v>
      </c>
      <c r="D2436" t="s">
        <v>154</v>
      </c>
      <c r="E2436">
        <v>5.38</v>
      </c>
    </row>
    <row r="2437" spans="1:5" ht="15" customHeight="1" x14ac:dyDescent="0.25">
      <c r="A2437">
        <v>898</v>
      </c>
      <c r="B2437" t="s">
        <v>164</v>
      </c>
      <c r="C2437">
        <v>830</v>
      </c>
      <c r="D2437" t="s">
        <v>155</v>
      </c>
      <c r="E2437">
        <v>5.89</v>
      </c>
    </row>
    <row r="2438" spans="1:5" ht="15" customHeight="1" x14ac:dyDescent="0.25">
      <c r="A2438">
        <v>898</v>
      </c>
      <c r="B2438" t="s">
        <v>164</v>
      </c>
      <c r="C2438">
        <v>831</v>
      </c>
      <c r="D2438" t="s">
        <v>156</v>
      </c>
      <c r="E2438">
        <v>3.63</v>
      </c>
    </row>
    <row r="2439" spans="1:5" ht="15" customHeight="1" x14ac:dyDescent="0.25">
      <c r="A2439">
        <v>898</v>
      </c>
      <c r="B2439" t="s">
        <v>164</v>
      </c>
      <c r="C2439">
        <v>832</v>
      </c>
      <c r="D2439" t="s">
        <v>157</v>
      </c>
      <c r="E2439">
        <v>5.25</v>
      </c>
    </row>
    <row r="2440" spans="1:5" ht="15" customHeight="1" x14ac:dyDescent="0.25">
      <c r="A2440">
        <v>898</v>
      </c>
      <c r="B2440" t="s">
        <v>164</v>
      </c>
      <c r="C2440">
        <v>833</v>
      </c>
      <c r="D2440" t="s">
        <v>158</v>
      </c>
      <c r="E2440">
        <v>3.42</v>
      </c>
    </row>
    <row r="2441" spans="1:5" ht="15" customHeight="1" x14ac:dyDescent="0.25">
      <c r="A2441">
        <v>898</v>
      </c>
      <c r="B2441" t="s">
        <v>164</v>
      </c>
      <c r="C2441">
        <v>840</v>
      </c>
      <c r="D2441" t="s">
        <v>159</v>
      </c>
      <c r="E2441">
        <v>6.26</v>
      </c>
    </row>
    <row r="2442" spans="1:5" ht="15" customHeight="1" x14ac:dyDescent="0.25">
      <c r="A2442">
        <v>898</v>
      </c>
      <c r="B2442" t="s">
        <v>164</v>
      </c>
      <c r="C2442">
        <v>841</v>
      </c>
      <c r="D2442" t="s">
        <v>160</v>
      </c>
      <c r="E2442">
        <v>5.58</v>
      </c>
    </row>
    <row r="2443" spans="1:5" ht="15" customHeight="1" x14ac:dyDescent="0.25">
      <c r="A2443">
        <v>898</v>
      </c>
      <c r="B2443" t="s">
        <v>164</v>
      </c>
      <c r="C2443">
        <v>842</v>
      </c>
      <c r="D2443" t="s">
        <v>161</v>
      </c>
      <c r="E2443">
        <v>3.88</v>
      </c>
    </row>
    <row r="2444" spans="1:5" ht="15" customHeight="1" x14ac:dyDescent="0.25">
      <c r="A2444">
        <v>898</v>
      </c>
      <c r="B2444" t="s">
        <v>164</v>
      </c>
      <c r="C2444">
        <v>847</v>
      </c>
      <c r="D2444" t="s">
        <v>162</v>
      </c>
      <c r="E2444">
        <v>5.95</v>
      </c>
    </row>
    <row r="2445" spans="1:5" ht="15" customHeight="1" x14ac:dyDescent="0.25">
      <c r="A2445">
        <v>898</v>
      </c>
      <c r="B2445" t="s">
        <v>164</v>
      </c>
      <c r="C2445">
        <v>877</v>
      </c>
      <c r="D2445" t="s">
        <v>163</v>
      </c>
      <c r="E2445">
        <v>16.809999999999999</v>
      </c>
    </row>
    <row r="2446" spans="1:5" ht="15" customHeight="1" x14ac:dyDescent="0.25">
      <c r="A2446">
        <v>898</v>
      </c>
      <c r="B2446" t="s">
        <v>164</v>
      </c>
      <c r="C2446">
        <v>898</v>
      </c>
      <c r="D2446" t="s">
        <v>164</v>
      </c>
      <c r="E2446">
        <v>0</v>
      </c>
    </row>
    <row r="2447" spans="1:5" ht="15" customHeight="1" x14ac:dyDescent="0.25">
      <c r="A2447">
        <v>898</v>
      </c>
      <c r="B2447" t="s">
        <v>164</v>
      </c>
      <c r="C2447">
        <v>899</v>
      </c>
      <c r="D2447" t="s">
        <v>165</v>
      </c>
      <c r="E2447">
        <v>6</v>
      </c>
    </row>
    <row r="2448" spans="1:5" ht="15" customHeight="1" x14ac:dyDescent="0.25">
      <c r="A2448">
        <v>898</v>
      </c>
      <c r="B2448" t="s">
        <v>164</v>
      </c>
      <c r="C2448">
        <v>1912</v>
      </c>
      <c r="D2448" t="s">
        <v>166</v>
      </c>
      <c r="E2448">
        <v>21.82</v>
      </c>
    </row>
    <row r="2449" spans="1:5" ht="15" customHeight="1" x14ac:dyDescent="0.25">
      <c r="A2449">
        <v>898</v>
      </c>
      <c r="B2449" t="s">
        <v>164</v>
      </c>
      <c r="C2449">
        <v>9999</v>
      </c>
      <c r="D2449" t="s">
        <v>117</v>
      </c>
      <c r="E2449">
        <v>4.0999999999999996</v>
      </c>
    </row>
    <row r="2450" spans="1:5" ht="15" customHeight="1" x14ac:dyDescent="0.25">
      <c r="A2450">
        <v>899</v>
      </c>
      <c r="B2450" t="s">
        <v>165</v>
      </c>
      <c r="C2450">
        <v>1</v>
      </c>
      <c r="D2450" t="s">
        <v>117</v>
      </c>
      <c r="E2450">
        <v>4.21</v>
      </c>
    </row>
    <row r="2451" spans="1:5" ht="15" customHeight="1" x14ac:dyDescent="0.25">
      <c r="A2451">
        <v>899</v>
      </c>
      <c r="B2451" t="s">
        <v>165</v>
      </c>
      <c r="C2451">
        <v>3</v>
      </c>
      <c r="D2451" t="s">
        <v>118</v>
      </c>
      <c r="E2451">
        <v>58.62</v>
      </c>
    </row>
    <row r="2452" spans="1:5" ht="15" customHeight="1" x14ac:dyDescent="0.25">
      <c r="A2452">
        <v>899</v>
      </c>
      <c r="B2452" t="s">
        <v>165</v>
      </c>
      <c r="C2452">
        <v>5</v>
      </c>
      <c r="D2452" t="s">
        <v>119</v>
      </c>
      <c r="E2452">
        <v>105.59</v>
      </c>
    </row>
    <row r="2453" spans="1:5" ht="15" customHeight="1" x14ac:dyDescent="0.25">
      <c r="A2453">
        <v>899</v>
      </c>
      <c r="B2453" t="s">
        <v>165</v>
      </c>
      <c r="C2453">
        <v>11</v>
      </c>
      <c r="D2453" t="s">
        <v>120</v>
      </c>
      <c r="E2453">
        <v>87.69</v>
      </c>
    </row>
    <row r="2454" spans="1:5" ht="15" customHeight="1" x14ac:dyDescent="0.25">
      <c r="A2454">
        <v>899</v>
      </c>
      <c r="B2454" t="s">
        <v>165</v>
      </c>
      <c r="C2454">
        <v>12</v>
      </c>
      <c r="D2454" t="s">
        <v>121</v>
      </c>
      <c r="E2454">
        <v>51.33</v>
      </c>
    </row>
    <row r="2455" spans="1:5" ht="15" customHeight="1" x14ac:dyDescent="0.25">
      <c r="A2455">
        <v>899</v>
      </c>
      <c r="B2455" t="s">
        <v>165</v>
      </c>
      <c r="C2455">
        <v>29</v>
      </c>
      <c r="D2455" t="s">
        <v>122</v>
      </c>
      <c r="E2455">
        <v>123.8</v>
      </c>
    </row>
    <row r="2456" spans="1:5" ht="15" customHeight="1" x14ac:dyDescent="0.25">
      <c r="A2456">
        <v>899</v>
      </c>
      <c r="B2456" t="s">
        <v>165</v>
      </c>
      <c r="C2456">
        <v>70</v>
      </c>
      <c r="D2456" t="s">
        <v>123</v>
      </c>
      <c r="E2456">
        <v>77.33</v>
      </c>
    </row>
    <row r="2457" spans="1:5" ht="15" customHeight="1" x14ac:dyDescent="0.25">
      <c r="A2457">
        <v>899</v>
      </c>
      <c r="B2457" t="s">
        <v>165</v>
      </c>
      <c r="C2457">
        <v>71</v>
      </c>
      <c r="D2457" t="s">
        <v>124</v>
      </c>
      <c r="E2457">
        <v>122.32</v>
      </c>
    </row>
    <row r="2458" spans="1:5" ht="15" customHeight="1" x14ac:dyDescent="0.25">
      <c r="A2458">
        <v>899</v>
      </c>
      <c r="B2458" t="s">
        <v>165</v>
      </c>
      <c r="C2458">
        <v>384</v>
      </c>
      <c r="D2458" t="s">
        <v>125</v>
      </c>
      <c r="E2458">
        <v>4.5199999999999996</v>
      </c>
    </row>
    <row r="2459" spans="1:5" ht="15" customHeight="1" x14ac:dyDescent="0.25">
      <c r="A2459">
        <v>899</v>
      </c>
      <c r="B2459" t="s">
        <v>165</v>
      </c>
      <c r="C2459">
        <v>429</v>
      </c>
      <c r="D2459" t="s">
        <v>126</v>
      </c>
      <c r="E2459">
        <v>66.25</v>
      </c>
    </row>
    <row r="2460" spans="1:5" ht="15" customHeight="1" x14ac:dyDescent="0.25">
      <c r="A2460">
        <v>899</v>
      </c>
      <c r="B2460" t="s">
        <v>165</v>
      </c>
      <c r="C2460">
        <v>486</v>
      </c>
      <c r="D2460" t="s">
        <v>127</v>
      </c>
      <c r="E2460">
        <v>63.72</v>
      </c>
    </row>
    <row r="2461" spans="1:5" ht="15" customHeight="1" x14ac:dyDescent="0.25">
      <c r="A2461">
        <v>899</v>
      </c>
      <c r="B2461" t="s">
        <v>165</v>
      </c>
      <c r="C2461">
        <v>546</v>
      </c>
      <c r="D2461" t="s">
        <v>128</v>
      </c>
      <c r="E2461">
        <v>71.59</v>
      </c>
    </row>
    <row r="2462" spans="1:5" ht="15" customHeight="1" x14ac:dyDescent="0.25">
      <c r="A2462">
        <v>899</v>
      </c>
      <c r="B2462" t="s">
        <v>165</v>
      </c>
      <c r="C2462">
        <v>599</v>
      </c>
      <c r="D2462" t="s">
        <v>129</v>
      </c>
      <c r="E2462">
        <v>5.36</v>
      </c>
    </row>
    <row r="2463" spans="1:5" ht="15" customHeight="1" x14ac:dyDescent="0.25">
      <c r="A2463">
        <v>899</v>
      </c>
      <c r="B2463" t="s">
        <v>165</v>
      </c>
      <c r="C2463">
        <v>620</v>
      </c>
      <c r="D2463" t="s">
        <v>130</v>
      </c>
      <c r="E2463">
        <v>41.35</v>
      </c>
    </row>
    <row r="2464" spans="1:5" ht="15" customHeight="1" x14ac:dyDescent="0.25">
      <c r="A2464">
        <v>899</v>
      </c>
      <c r="B2464" t="s">
        <v>165</v>
      </c>
      <c r="C2464">
        <v>626</v>
      </c>
      <c r="D2464" t="s">
        <v>131</v>
      </c>
      <c r="E2464">
        <v>6.81</v>
      </c>
    </row>
    <row r="2465" spans="1:5" ht="15" customHeight="1" x14ac:dyDescent="0.25">
      <c r="A2465">
        <v>899</v>
      </c>
      <c r="B2465" t="s">
        <v>165</v>
      </c>
      <c r="C2465">
        <v>627</v>
      </c>
      <c r="D2465" t="s">
        <v>132</v>
      </c>
      <c r="E2465">
        <v>4.76</v>
      </c>
    </row>
    <row r="2466" spans="1:5" ht="15" customHeight="1" x14ac:dyDescent="0.25">
      <c r="A2466">
        <v>899</v>
      </c>
      <c r="B2466" t="s">
        <v>165</v>
      </c>
      <c r="C2466">
        <v>651</v>
      </c>
      <c r="D2466" t="s">
        <v>133</v>
      </c>
      <c r="E2466">
        <v>5.3</v>
      </c>
    </row>
    <row r="2467" spans="1:5" ht="15" customHeight="1" x14ac:dyDescent="0.25">
      <c r="A2467">
        <v>899</v>
      </c>
      <c r="B2467" t="s">
        <v>165</v>
      </c>
      <c r="C2467">
        <v>668</v>
      </c>
      <c r="D2467" t="s">
        <v>134</v>
      </c>
      <c r="E2467">
        <v>4.8099999999999996</v>
      </c>
    </row>
    <row r="2468" spans="1:5" ht="15" customHeight="1" x14ac:dyDescent="0.25">
      <c r="A2468">
        <v>899</v>
      </c>
      <c r="B2468" t="s">
        <v>165</v>
      </c>
      <c r="C2468">
        <v>681</v>
      </c>
      <c r="D2468" t="s">
        <v>135</v>
      </c>
      <c r="E2468">
        <v>7.22</v>
      </c>
    </row>
    <row r="2469" spans="1:5" ht="15" customHeight="1" x14ac:dyDescent="0.25">
      <c r="A2469">
        <v>899</v>
      </c>
      <c r="B2469" t="s">
        <v>165</v>
      </c>
      <c r="C2469">
        <v>682</v>
      </c>
      <c r="D2469" t="s">
        <v>136</v>
      </c>
      <c r="E2469">
        <v>3.53</v>
      </c>
    </row>
    <row r="2470" spans="1:5" ht="15" customHeight="1" x14ac:dyDescent="0.25">
      <c r="A2470">
        <v>899</v>
      </c>
      <c r="B2470" t="s">
        <v>165</v>
      </c>
      <c r="C2470">
        <v>683</v>
      </c>
      <c r="D2470" t="s">
        <v>137</v>
      </c>
      <c r="E2470">
        <v>4.05</v>
      </c>
    </row>
    <row r="2471" spans="1:5" ht="15" customHeight="1" x14ac:dyDescent="0.25">
      <c r="A2471">
        <v>899</v>
      </c>
      <c r="B2471" t="s">
        <v>165</v>
      </c>
      <c r="C2471">
        <v>684</v>
      </c>
      <c r="D2471" t="s">
        <v>138</v>
      </c>
      <c r="E2471">
        <v>5.22</v>
      </c>
    </row>
    <row r="2472" spans="1:5" ht="15" customHeight="1" x14ac:dyDescent="0.25">
      <c r="A2472">
        <v>899</v>
      </c>
      <c r="B2472" t="s">
        <v>165</v>
      </c>
      <c r="C2472">
        <v>685</v>
      </c>
      <c r="D2472" t="s">
        <v>139</v>
      </c>
      <c r="E2472">
        <v>6.02</v>
      </c>
    </row>
    <row r="2473" spans="1:5" ht="15" customHeight="1" x14ac:dyDescent="0.25">
      <c r="A2473">
        <v>899</v>
      </c>
      <c r="B2473" t="s">
        <v>165</v>
      </c>
      <c r="C2473">
        <v>691</v>
      </c>
      <c r="D2473" t="s">
        <v>140</v>
      </c>
      <c r="E2473">
        <v>7.28</v>
      </c>
    </row>
    <row r="2474" spans="1:5" ht="15" customHeight="1" x14ac:dyDescent="0.25">
      <c r="A2474">
        <v>899</v>
      </c>
      <c r="B2474" t="s">
        <v>165</v>
      </c>
      <c r="C2474">
        <v>706</v>
      </c>
      <c r="D2474" t="s">
        <v>141</v>
      </c>
      <c r="E2474">
        <v>4.91</v>
      </c>
    </row>
    <row r="2475" spans="1:5" ht="15" customHeight="1" x14ac:dyDescent="0.25">
      <c r="A2475">
        <v>899</v>
      </c>
      <c r="B2475" t="s">
        <v>165</v>
      </c>
      <c r="C2475">
        <v>713</v>
      </c>
      <c r="D2475" t="s">
        <v>142</v>
      </c>
      <c r="E2475">
        <v>3.82</v>
      </c>
    </row>
    <row r="2476" spans="1:5" ht="15" customHeight="1" x14ac:dyDescent="0.25">
      <c r="A2476">
        <v>899</v>
      </c>
      <c r="B2476" t="s">
        <v>165</v>
      </c>
      <c r="C2476">
        <v>718</v>
      </c>
      <c r="D2476" t="s">
        <v>143</v>
      </c>
      <c r="E2476">
        <v>2.73</v>
      </c>
    </row>
    <row r="2477" spans="1:5" ht="15" customHeight="1" x14ac:dyDescent="0.25">
      <c r="A2477">
        <v>899</v>
      </c>
      <c r="B2477" t="s">
        <v>165</v>
      </c>
      <c r="C2477">
        <v>731</v>
      </c>
      <c r="D2477" t="s">
        <v>144</v>
      </c>
      <c r="E2477">
        <v>30.85</v>
      </c>
    </row>
    <row r="2478" spans="1:5" ht="15" customHeight="1" x14ac:dyDescent="0.25">
      <c r="A2478">
        <v>899</v>
      </c>
      <c r="B2478" t="s">
        <v>165</v>
      </c>
      <c r="C2478">
        <v>743</v>
      </c>
      <c r="D2478" t="s">
        <v>145</v>
      </c>
      <c r="E2478">
        <v>18.89</v>
      </c>
    </row>
    <row r="2479" spans="1:5" ht="15" customHeight="1" x14ac:dyDescent="0.25">
      <c r="A2479">
        <v>899</v>
      </c>
      <c r="B2479" t="s">
        <v>165</v>
      </c>
      <c r="C2479">
        <v>760</v>
      </c>
      <c r="D2479" t="s">
        <v>146</v>
      </c>
      <c r="E2479">
        <v>6.65</v>
      </c>
    </row>
    <row r="2480" spans="1:5" ht="15" customHeight="1" x14ac:dyDescent="0.25">
      <c r="A2480">
        <v>899</v>
      </c>
      <c r="B2480" t="s">
        <v>165</v>
      </c>
      <c r="C2480">
        <v>765</v>
      </c>
      <c r="D2480" t="s">
        <v>147</v>
      </c>
      <c r="E2480">
        <v>7.41</v>
      </c>
    </row>
    <row r="2481" spans="1:5" ht="15" customHeight="1" x14ac:dyDescent="0.25">
      <c r="A2481">
        <v>899</v>
      </c>
      <c r="B2481" t="s">
        <v>165</v>
      </c>
      <c r="C2481">
        <v>766</v>
      </c>
      <c r="D2481" t="s">
        <v>148</v>
      </c>
      <c r="E2481">
        <v>3.1</v>
      </c>
    </row>
    <row r="2482" spans="1:5" ht="15" customHeight="1" x14ac:dyDescent="0.25">
      <c r="A2482">
        <v>899</v>
      </c>
      <c r="B2482" t="s">
        <v>165</v>
      </c>
      <c r="C2482">
        <v>767</v>
      </c>
      <c r="D2482" t="s">
        <v>149</v>
      </c>
      <c r="E2482">
        <v>7.48</v>
      </c>
    </row>
    <row r="2483" spans="1:5" ht="15" customHeight="1" x14ac:dyDescent="0.25">
      <c r="A2483">
        <v>899</v>
      </c>
      <c r="B2483" t="s">
        <v>165</v>
      </c>
      <c r="C2483">
        <v>795</v>
      </c>
      <c r="D2483" t="s">
        <v>150</v>
      </c>
      <c r="E2483">
        <v>5.58</v>
      </c>
    </row>
    <row r="2484" spans="1:5" ht="15" customHeight="1" x14ac:dyDescent="0.25">
      <c r="A2484">
        <v>899</v>
      </c>
      <c r="B2484" t="s">
        <v>165</v>
      </c>
      <c r="C2484">
        <v>798</v>
      </c>
      <c r="D2484" t="s">
        <v>151</v>
      </c>
      <c r="E2484">
        <v>8.7200000000000006</v>
      </c>
    </row>
    <row r="2485" spans="1:5" ht="15" customHeight="1" x14ac:dyDescent="0.25">
      <c r="A2485">
        <v>899</v>
      </c>
      <c r="B2485" t="s">
        <v>165</v>
      </c>
      <c r="C2485">
        <v>799</v>
      </c>
      <c r="D2485" t="s">
        <v>152</v>
      </c>
      <c r="E2485">
        <v>6.08</v>
      </c>
    </row>
    <row r="2486" spans="1:5" ht="15" customHeight="1" x14ac:dyDescent="0.25">
      <c r="A2486">
        <v>899</v>
      </c>
      <c r="B2486" t="s">
        <v>165</v>
      </c>
      <c r="C2486">
        <v>811</v>
      </c>
      <c r="D2486" t="s">
        <v>153</v>
      </c>
      <c r="E2486">
        <v>1.67</v>
      </c>
    </row>
    <row r="2487" spans="1:5" ht="15" customHeight="1" x14ac:dyDescent="0.25">
      <c r="A2487">
        <v>899</v>
      </c>
      <c r="B2487" t="s">
        <v>165</v>
      </c>
      <c r="C2487">
        <v>820</v>
      </c>
      <c r="D2487" t="s">
        <v>154</v>
      </c>
      <c r="E2487">
        <v>7.56</v>
      </c>
    </row>
    <row r="2488" spans="1:5" ht="15" customHeight="1" x14ac:dyDescent="0.25">
      <c r="A2488">
        <v>899</v>
      </c>
      <c r="B2488" t="s">
        <v>165</v>
      </c>
      <c r="C2488">
        <v>830</v>
      </c>
      <c r="D2488" t="s">
        <v>155</v>
      </c>
      <c r="E2488">
        <v>7.84</v>
      </c>
    </row>
    <row r="2489" spans="1:5" ht="15" customHeight="1" x14ac:dyDescent="0.25">
      <c r="A2489">
        <v>899</v>
      </c>
      <c r="B2489" t="s">
        <v>165</v>
      </c>
      <c r="C2489">
        <v>831</v>
      </c>
      <c r="D2489" t="s">
        <v>156</v>
      </c>
      <c r="E2489">
        <v>7.64</v>
      </c>
    </row>
    <row r="2490" spans="1:5" ht="15" customHeight="1" x14ac:dyDescent="0.25">
      <c r="A2490">
        <v>899</v>
      </c>
      <c r="B2490" t="s">
        <v>165</v>
      </c>
      <c r="C2490">
        <v>832</v>
      </c>
      <c r="D2490" t="s">
        <v>157</v>
      </c>
      <c r="E2490">
        <v>7.76</v>
      </c>
    </row>
    <row r="2491" spans="1:5" ht="15" customHeight="1" x14ac:dyDescent="0.25">
      <c r="A2491">
        <v>899</v>
      </c>
      <c r="B2491" t="s">
        <v>165</v>
      </c>
      <c r="C2491">
        <v>833</v>
      </c>
      <c r="D2491" t="s">
        <v>158</v>
      </c>
      <c r="E2491">
        <v>6</v>
      </c>
    </row>
    <row r="2492" spans="1:5" ht="15" customHeight="1" x14ac:dyDescent="0.25">
      <c r="A2492">
        <v>899</v>
      </c>
      <c r="B2492" t="s">
        <v>165</v>
      </c>
      <c r="C2492">
        <v>840</v>
      </c>
      <c r="D2492" t="s">
        <v>159</v>
      </c>
      <c r="E2492">
        <v>9.84</v>
      </c>
    </row>
    <row r="2493" spans="1:5" ht="15" customHeight="1" x14ac:dyDescent="0.25">
      <c r="A2493">
        <v>899</v>
      </c>
      <c r="B2493" t="s">
        <v>165</v>
      </c>
      <c r="C2493">
        <v>841</v>
      </c>
      <c r="D2493" t="s">
        <v>160</v>
      </c>
      <c r="E2493">
        <v>5.81</v>
      </c>
    </row>
    <row r="2494" spans="1:5" ht="15" customHeight="1" x14ac:dyDescent="0.25">
      <c r="A2494">
        <v>899</v>
      </c>
      <c r="B2494" t="s">
        <v>165</v>
      </c>
      <c r="C2494">
        <v>842</v>
      </c>
      <c r="D2494" t="s">
        <v>161</v>
      </c>
      <c r="E2494">
        <v>2.19</v>
      </c>
    </row>
    <row r="2495" spans="1:5" ht="15" customHeight="1" x14ac:dyDescent="0.25">
      <c r="A2495">
        <v>899</v>
      </c>
      <c r="B2495" t="s">
        <v>165</v>
      </c>
      <c r="C2495">
        <v>847</v>
      </c>
      <c r="D2495" t="s">
        <v>162</v>
      </c>
      <c r="E2495">
        <v>5.67</v>
      </c>
    </row>
    <row r="2496" spans="1:5" ht="15" customHeight="1" x14ac:dyDescent="0.25">
      <c r="A2496">
        <v>899</v>
      </c>
      <c r="B2496" t="s">
        <v>165</v>
      </c>
      <c r="C2496">
        <v>877</v>
      </c>
      <c r="D2496" t="s">
        <v>163</v>
      </c>
      <c r="E2496">
        <v>21.66</v>
      </c>
    </row>
    <row r="2497" spans="1:5" ht="15" customHeight="1" x14ac:dyDescent="0.25">
      <c r="A2497">
        <v>899</v>
      </c>
      <c r="B2497" t="s">
        <v>165</v>
      </c>
      <c r="C2497">
        <v>898</v>
      </c>
      <c r="D2497" t="s">
        <v>164</v>
      </c>
      <c r="E2497">
        <v>6</v>
      </c>
    </row>
    <row r="2498" spans="1:5" ht="15" customHeight="1" x14ac:dyDescent="0.25">
      <c r="A2498">
        <v>899</v>
      </c>
      <c r="B2498" t="s">
        <v>165</v>
      </c>
      <c r="C2498">
        <v>899</v>
      </c>
      <c r="D2498" t="s">
        <v>165</v>
      </c>
      <c r="E2498">
        <v>0</v>
      </c>
    </row>
    <row r="2499" spans="1:5" ht="15" customHeight="1" x14ac:dyDescent="0.25">
      <c r="A2499">
        <v>899</v>
      </c>
      <c r="B2499" t="s">
        <v>165</v>
      </c>
      <c r="C2499">
        <v>1912</v>
      </c>
      <c r="D2499" t="s">
        <v>166</v>
      </c>
      <c r="E2499">
        <v>25.99</v>
      </c>
    </row>
    <row r="2500" spans="1:5" ht="15" customHeight="1" x14ac:dyDescent="0.25">
      <c r="A2500">
        <v>899</v>
      </c>
      <c r="B2500" t="s">
        <v>165</v>
      </c>
      <c r="C2500">
        <v>9999</v>
      </c>
      <c r="D2500" t="s">
        <v>117</v>
      </c>
      <c r="E2500">
        <v>4.21</v>
      </c>
    </row>
    <row r="2501" spans="1:5" ht="15" customHeight="1" x14ac:dyDescent="0.25">
      <c r="A2501">
        <v>1912</v>
      </c>
      <c r="B2501" t="s">
        <v>166</v>
      </c>
      <c r="C2501">
        <v>1</v>
      </c>
      <c r="D2501" t="s">
        <v>117</v>
      </c>
      <c r="E2501">
        <v>25.9</v>
      </c>
    </row>
    <row r="2502" spans="1:5" ht="15" customHeight="1" x14ac:dyDescent="0.25">
      <c r="A2502">
        <v>1912</v>
      </c>
      <c r="B2502" t="s">
        <v>166</v>
      </c>
      <c r="C2502">
        <v>3</v>
      </c>
      <c r="D2502" t="s">
        <v>118</v>
      </c>
      <c r="E2502">
        <v>32.659999999999997</v>
      </c>
    </row>
    <row r="2503" spans="1:5" ht="15" customHeight="1" x14ac:dyDescent="0.25">
      <c r="A2503">
        <v>1912</v>
      </c>
      <c r="B2503" t="s">
        <v>166</v>
      </c>
      <c r="C2503">
        <v>5</v>
      </c>
      <c r="D2503" t="s">
        <v>119</v>
      </c>
      <c r="E2503">
        <v>79.97</v>
      </c>
    </row>
    <row r="2504" spans="1:5" ht="15" customHeight="1" x14ac:dyDescent="0.25">
      <c r="A2504">
        <v>1912</v>
      </c>
      <c r="B2504" t="s">
        <v>166</v>
      </c>
      <c r="C2504">
        <v>11</v>
      </c>
      <c r="D2504" t="s">
        <v>120</v>
      </c>
      <c r="E2504">
        <v>65.430000000000007</v>
      </c>
    </row>
    <row r="2505" spans="1:5" ht="15" customHeight="1" x14ac:dyDescent="0.25">
      <c r="A2505">
        <v>1912</v>
      </c>
      <c r="B2505" t="s">
        <v>166</v>
      </c>
      <c r="C2505">
        <v>12</v>
      </c>
      <c r="D2505" t="s">
        <v>121</v>
      </c>
      <c r="E2505">
        <v>45.05</v>
      </c>
    </row>
    <row r="2506" spans="1:5" ht="15" customHeight="1" x14ac:dyDescent="0.25">
      <c r="A2506">
        <v>1912</v>
      </c>
      <c r="B2506" t="s">
        <v>166</v>
      </c>
      <c r="C2506">
        <v>29</v>
      </c>
      <c r="D2506" t="s">
        <v>122</v>
      </c>
      <c r="E2506">
        <v>141.72</v>
      </c>
    </row>
    <row r="2507" spans="1:5" ht="15" customHeight="1" x14ac:dyDescent="0.25">
      <c r="A2507">
        <v>1912</v>
      </c>
      <c r="B2507" t="s">
        <v>166</v>
      </c>
      <c r="C2507">
        <v>70</v>
      </c>
      <c r="D2507" t="s">
        <v>123</v>
      </c>
      <c r="E2507">
        <v>82.45</v>
      </c>
    </row>
    <row r="2508" spans="1:5" ht="15" customHeight="1" x14ac:dyDescent="0.25">
      <c r="A2508">
        <v>1912</v>
      </c>
      <c r="B2508" t="s">
        <v>166</v>
      </c>
      <c r="C2508">
        <v>71</v>
      </c>
      <c r="D2508" t="s">
        <v>124</v>
      </c>
      <c r="E2508">
        <v>141.5</v>
      </c>
    </row>
    <row r="2509" spans="1:5" ht="15" customHeight="1" x14ac:dyDescent="0.25">
      <c r="A2509">
        <v>1912</v>
      </c>
      <c r="B2509" t="s">
        <v>166</v>
      </c>
      <c r="C2509">
        <v>384</v>
      </c>
      <c r="D2509" t="s">
        <v>125</v>
      </c>
      <c r="E2509">
        <v>26.75</v>
      </c>
    </row>
    <row r="2510" spans="1:5" ht="15" customHeight="1" x14ac:dyDescent="0.25">
      <c r="A2510">
        <v>1912</v>
      </c>
      <c r="B2510" t="s">
        <v>166</v>
      </c>
      <c r="C2510">
        <v>429</v>
      </c>
      <c r="D2510" t="s">
        <v>126</v>
      </c>
      <c r="E2510">
        <v>86.47</v>
      </c>
    </row>
    <row r="2511" spans="1:5" ht="15" customHeight="1" x14ac:dyDescent="0.25">
      <c r="A2511">
        <v>1912</v>
      </c>
      <c r="B2511" t="s">
        <v>166</v>
      </c>
      <c r="C2511">
        <v>486</v>
      </c>
      <c r="D2511" t="s">
        <v>127</v>
      </c>
      <c r="E2511">
        <v>49.89</v>
      </c>
    </row>
    <row r="2512" spans="1:5" ht="15" customHeight="1" x14ac:dyDescent="0.25">
      <c r="A2512">
        <v>1912</v>
      </c>
      <c r="B2512" t="s">
        <v>166</v>
      </c>
      <c r="C2512">
        <v>546</v>
      </c>
      <c r="D2512" t="s">
        <v>128</v>
      </c>
      <c r="E2512">
        <v>47.21</v>
      </c>
    </row>
    <row r="2513" spans="1:5" ht="15" customHeight="1" x14ac:dyDescent="0.25">
      <c r="A2513">
        <v>1912</v>
      </c>
      <c r="B2513" t="s">
        <v>166</v>
      </c>
      <c r="C2513">
        <v>599</v>
      </c>
      <c r="D2513" t="s">
        <v>129</v>
      </c>
      <c r="E2513">
        <v>21.03</v>
      </c>
    </row>
    <row r="2514" spans="1:5" ht="15" customHeight="1" x14ac:dyDescent="0.25">
      <c r="A2514">
        <v>1912</v>
      </c>
      <c r="B2514" t="s">
        <v>166</v>
      </c>
      <c r="C2514">
        <v>620</v>
      </c>
      <c r="D2514" t="s">
        <v>130</v>
      </c>
      <c r="E2514">
        <v>67.22</v>
      </c>
    </row>
    <row r="2515" spans="1:5" ht="15" customHeight="1" x14ac:dyDescent="0.25">
      <c r="A2515">
        <v>1912</v>
      </c>
      <c r="B2515" t="s">
        <v>166</v>
      </c>
      <c r="C2515">
        <v>626</v>
      </c>
      <c r="D2515" t="s">
        <v>131</v>
      </c>
      <c r="E2515">
        <v>23.23</v>
      </c>
    </row>
    <row r="2516" spans="1:5" ht="15" customHeight="1" x14ac:dyDescent="0.25">
      <c r="A2516">
        <v>1912</v>
      </c>
      <c r="B2516" t="s">
        <v>166</v>
      </c>
      <c r="C2516">
        <v>627</v>
      </c>
      <c r="D2516" t="s">
        <v>132</v>
      </c>
      <c r="E2516">
        <v>30.25</v>
      </c>
    </row>
    <row r="2517" spans="1:5" ht="15" customHeight="1" x14ac:dyDescent="0.25">
      <c r="A2517">
        <v>1912</v>
      </c>
      <c r="B2517" t="s">
        <v>166</v>
      </c>
      <c r="C2517">
        <v>651</v>
      </c>
      <c r="D2517" t="s">
        <v>133</v>
      </c>
      <c r="E2517">
        <v>28.37</v>
      </c>
    </row>
    <row r="2518" spans="1:5" ht="15" customHeight="1" x14ac:dyDescent="0.25">
      <c r="A2518">
        <v>1912</v>
      </c>
      <c r="B2518" t="s">
        <v>166</v>
      </c>
      <c r="C2518">
        <v>668</v>
      </c>
      <c r="D2518" t="s">
        <v>134</v>
      </c>
      <c r="E2518">
        <v>22.69</v>
      </c>
    </row>
    <row r="2519" spans="1:5" ht="15" customHeight="1" x14ac:dyDescent="0.25">
      <c r="A2519">
        <v>1912</v>
      </c>
      <c r="B2519" t="s">
        <v>166</v>
      </c>
      <c r="C2519">
        <v>681</v>
      </c>
      <c r="D2519" t="s">
        <v>135</v>
      </c>
      <c r="E2519">
        <v>27.83</v>
      </c>
    </row>
    <row r="2520" spans="1:5" ht="15" customHeight="1" x14ac:dyDescent="0.25">
      <c r="A2520">
        <v>1912</v>
      </c>
      <c r="B2520" t="s">
        <v>166</v>
      </c>
      <c r="C2520">
        <v>682</v>
      </c>
      <c r="D2520" t="s">
        <v>136</v>
      </c>
      <c r="E2520">
        <v>25.92</v>
      </c>
    </row>
    <row r="2521" spans="1:5" ht="15" customHeight="1" x14ac:dyDescent="0.25">
      <c r="A2521">
        <v>1912</v>
      </c>
      <c r="B2521" t="s">
        <v>166</v>
      </c>
      <c r="C2521">
        <v>683</v>
      </c>
      <c r="D2521" t="s">
        <v>137</v>
      </c>
      <c r="E2521">
        <v>26.38</v>
      </c>
    </row>
    <row r="2522" spans="1:5" ht="15" customHeight="1" x14ac:dyDescent="0.25">
      <c r="A2522">
        <v>1912</v>
      </c>
      <c r="B2522" t="s">
        <v>166</v>
      </c>
      <c r="C2522">
        <v>684</v>
      </c>
      <c r="D2522" t="s">
        <v>138</v>
      </c>
      <c r="E2522">
        <v>24.99</v>
      </c>
    </row>
    <row r="2523" spans="1:5" ht="15" customHeight="1" x14ac:dyDescent="0.25">
      <c r="A2523">
        <v>1912</v>
      </c>
      <c r="B2523" t="s">
        <v>166</v>
      </c>
      <c r="C2523">
        <v>685</v>
      </c>
      <c r="D2523" t="s">
        <v>139</v>
      </c>
      <c r="E2523">
        <v>26.43</v>
      </c>
    </row>
    <row r="2524" spans="1:5" ht="15" customHeight="1" x14ac:dyDescent="0.25">
      <c r="A2524">
        <v>1912</v>
      </c>
      <c r="B2524" t="s">
        <v>166</v>
      </c>
      <c r="C2524">
        <v>691</v>
      </c>
      <c r="D2524" t="s">
        <v>140</v>
      </c>
      <c r="E2524">
        <v>27.39</v>
      </c>
    </row>
    <row r="2525" spans="1:5" ht="15" customHeight="1" x14ac:dyDescent="0.25">
      <c r="A2525">
        <v>1912</v>
      </c>
      <c r="B2525" t="s">
        <v>166</v>
      </c>
      <c r="C2525">
        <v>706</v>
      </c>
      <c r="D2525" t="s">
        <v>141</v>
      </c>
      <c r="E2525">
        <v>27.93</v>
      </c>
    </row>
    <row r="2526" spans="1:5" ht="15" customHeight="1" x14ac:dyDescent="0.25">
      <c r="A2526">
        <v>1912</v>
      </c>
      <c r="B2526" t="s">
        <v>166</v>
      </c>
      <c r="C2526">
        <v>713</v>
      </c>
      <c r="D2526" t="s">
        <v>142</v>
      </c>
      <c r="E2526">
        <v>24.3</v>
      </c>
    </row>
    <row r="2527" spans="1:5" ht="15" customHeight="1" x14ac:dyDescent="0.25">
      <c r="A2527">
        <v>1912</v>
      </c>
      <c r="B2527" t="s">
        <v>166</v>
      </c>
      <c r="C2527">
        <v>718</v>
      </c>
      <c r="D2527" t="s">
        <v>143</v>
      </c>
      <c r="E2527">
        <v>27.83</v>
      </c>
    </row>
    <row r="2528" spans="1:5" ht="15" customHeight="1" x14ac:dyDescent="0.25">
      <c r="A2528">
        <v>1912</v>
      </c>
      <c r="B2528" t="s">
        <v>166</v>
      </c>
      <c r="C2528">
        <v>731</v>
      </c>
      <c r="D2528" t="s">
        <v>144</v>
      </c>
      <c r="E2528">
        <v>5.34</v>
      </c>
    </row>
    <row r="2529" spans="1:5" ht="15" customHeight="1" x14ac:dyDescent="0.25">
      <c r="A2529">
        <v>1912</v>
      </c>
      <c r="B2529" t="s">
        <v>166</v>
      </c>
      <c r="C2529">
        <v>743</v>
      </c>
      <c r="D2529" t="s">
        <v>145</v>
      </c>
      <c r="E2529">
        <v>27.39</v>
      </c>
    </row>
    <row r="2530" spans="1:5" ht="15" customHeight="1" x14ac:dyDescent="0.25">
      <c r="A2530">
        <v>1912</v>
      </c>
      <c r="B2530" t="s">
        <v>166</v>
      </c>
      <c r="C2530">
        <v>760</v>
      </c>
      <c r="D2530" t="s">
        <v>146</v>
      </c>
      <c r="E2530">
        <v>26.6</v>
      </c>
    </row>
    <row r="2531" spans="1:5" ht="15" customHeight="1" x14ac:dyDescent="0.25">
      <c r="A2531">
        <v>1912</v>
      </c>
      <c r="B2531" t="s">
        <v>166</v>
      </c>
      <c r="C2531">
        <v>765</v>
      </c>
      <c r="D2531" t="s">
        <v>147</v>
      </c>
      <c r="E2531">
        <v>22.3</v>
      </c>
    </row>
    <row r="2532" spans="1:5" ht="15" customHeight="1" x14ac:dyDescent="0.25">
      <c r="A2532">
        <v>1912</v>
      </c>
      <c r="B2532" t="s">
        <v>166</v>
      </c>
      <c r="C2532">
        <v>766</v>
      </c>
      <c r="D2532" t="s">
        <v>148</v>
      </c>
      <c r="E2532">
        <v>27.02</v>
      </c>
    </row>
    <row r="2533" spans="1:5" ht="15" customHeight="1" x14ac:dyDescent="0.25">
      <c r="A2533">
        <v>1912</v>
      </c>
      <c r="B2533" t="s">
        <v>166</v>
      </c>
      <c r="C2533">
        <v>767</v>
      </c>
      <c r="D2533" t="s">
        <v>149</v>
      </c>
      <c r="E2533">
        <v>32.17</v>
      </c>
    </row>
    <row r="2534" spans="1:5" ht="15" customHeight="1" x14ac:dyDescent="0.25">
      <c r="A2534">
        <v>1912</v>
      </c>
      <c r="B2534" t="s">
        <v>166</v>
      </c>
      <c r="C2534">
        <v>795</v>
      </c>
      <c r="D2534" t="s">
        <v>150</v>
      </c>
      <c r="E2534">
        <v>25.97</v>
      </c>
    </row>
    <row r="2535" spans="1:5" ht="15" customHeight="1" x14ac:dyDescent="0.25">
      <c r="A2535">
        <v>1912</v>
      </c>
      <c r="B2535" t="s">
        <v>166</v>
      </c>
      <c r="C2535">
        <v>798</v>
      </c>
      <c r="D2535" t="s">
        <v>151</v>
      </c>
      <c r="E2535">
        <v>27.28</v>
      </c>
    </row>
    <row r="2536" spans="1:5" ht="15" customHeight="1" x14ac:dyDescent="0.25">
      <c r="A2536">
        <v>1912</v>
      </c>
      <c r="B2536" t="s">
        <v>166</v>
      </c>
      <c r="C2536">
        <v>799</v>
      </c>
      <c r="D2536" t="s">
        <v>152</v>
      </c>
      <c r="E2536">
        <v>23.01</v>
      </c>
    </row>
    <row r="2537" spans="1:5" ht="15" customHeight="1" x14ac:dyDescent="0.25">
      <c r="A2537">
        <v>1912</v>
      </c>
      <c r="B2537" t="s">
        <v>166</v>
      </c>
      <c r="C2537">
        <v>811</v>
      </c>
      <c r="D2537" t="s">
        <v>153</v>
      </c>
      <c r="E2537">
        <v>26.94</v>
      </c>
    </row>
    <row r="2538" spans="1:5" ht="15" customHeight="1" x14ac:dyDescent="0.25">
      <c r="A2538">
        <v>1912</v>
      </c>
      <c r="B2538" t="s">
        <v>166</v>
      </c>
      <c r="C2538">
        <v>820</v>
      </c>
      <c r="D2538" t="s">
        <v>154</v>
      </c>
      <c r="E2538">
        <v>26.56</v>
      </c>
    </row>
    <row r="2539" spans="1:5" ht="15" customHeight="1" x14ac:dyDescent="0.25">
      <c r="A2539">
        <v>1912</v>
      </c>
      <c r="B2539" t="s">
        <v>166</v>
      </c>
      <c r="C2539">
        <v>830</v>
      </c>
      <c r="D2539" t="s">
        <v>155</v>
      </c>
      <c r="E2539">
        <v>27.04</v>
      </c>
    </row>
    <row r="2540" spans="1:5" ht="15" customHeight="1" x14ac:dyDescent="0.25">
      <c r="A2540">
        <v>1912</v>
      </c>
      <c r="B2540" t="s">
        <v>166</v>
      </c>
      <c r="C2540">
        <v>831</v>
      </c>
      <c r="D2540" t="s">
        <v>156</v>
      </c>
      <c r="E2540">
        <v>18.64</v>
      </c>
    </row>
    <row r="2541" spans="1:5" ht="15" customHeight="1" x14ac:dyDescent="0.25">
      <c r="A2541">
        <v>1912</v>
      </c>
      <c r="B2541" t="s">
        <v>166</v>
      </c>
      <c r="C2541">
        <v>832</v>
      </c>
      <c r="D2541" t="s">
        <v>157</v>
      </c>
      <c r="E2541">
        <v>26.27</v>
      </c>
    </row>
    <row r="2542" spans="1:5" ht="15" customHeight="1" x14ac:dyDescent="0.25">
      <c r="A2542">
        <v>1912</v>
      </c>
      <c r="B2542" t="s">
        <v>166</v>
      </c>
      <c r="C2542">
        <v>833</v>
      </c>
      <c r="D2542" t="s">
        <v>158</v>
      </c>
      <c r="E2542">
        <v>25.02</v>
      </c>
    </row>
    <row r="2543" spans="1:5" ht="15" customHeight="1" x14ac:dyDescent="0.25">
      <c r="A2543">
        <v>1912</v>
      </c>
      <c r="B2543" t="s">
        <v>166</v>
      </c>
      <c r="C2543">
        <v>840</v>
      </c>
      <c r="D2543" t="s">
        <v>159</v>
      </c>
      <c r="E2543">
        <v>25.9</v>
      </c>
    </row>
    <row r="2544" spans="1:5" ht="15" customHeight="1" x14ac:dyDescent="0.25">
      <c r="A2544">
        <v>1912</v>
      </c>
      <c r="B2544" t="s">
        <v>166</v>
      </c>
      <c r="C2544">
        <v>841</v>
      </c>
      <c r="D2544" t="s">
        <v>160</v>
      </c>
      <c r="E2544">
        <v>27.35</v>
      </c>
    </row>
    <row r="2545" spans="1:5" ht="15" customHeight="1" x14ac:dyDescent="0.25">
      <c r="A2545">
        <v>1912</v>
      </c>
      <c r="B2545" t="s">
        <v>166</v>
      </c>
      <c r="C2545">
        <v>842</v>
      </c>
      <c r="D2545" t="s">
        <v>161</v>
      </c>
      <c r="E2545">
        <v>24.11</v>
      </c>
    </row>
    <row r="2546" spans="1:5" ht="15" customHeight="1" x14ac:dyDescent="0.25">
      <c r="A2546">
        <v>1912</v>
      </c>
      <c r="B2546" t="s">
        <v>166</v>
      </c>
      <c r="C2546">
        <v>847</v>
      </c>
      <c r="D2546" t="s">
        <v>162</v>
      </c>
      <c r="E2546">
        <v>27.76</v>
      </c>
    </row>
    <row r="2547" spans="1:5" ht="15" customHeight="1" x14ac:dyDescent="0.25">
      <c r="A2547">
        <v>1912</v>
      </c>
      <c r="B2547" t="s">
        <v>166</v>
      </c>
      <c r="C2547">
        <v>877</v>
      </c>
      <c r="D2547" t="s">
        <v>163</v>
      </c>
      <c r="E2547">
        <v>5.98</v>
      </c>
    </row>
    <row r="2548" spans="1:5" ht="15" customHeight="1" x14ac:dyDescent="0.25">
      <c r="A2548">
        <v>1912</v>
      </c>
      <c r="B2548" t="s">
        <v>166</v>
      </c>
      <c r="C2548">
        <v>898</v>
      </c>
      <c r="D2548" t="s">
        <v>164</v>
      </c>
      <c r="E2548">
        <v>21.82</v>
      </c>
    </row>
    <row r="2549" spans="1:5" ht="15" customHeight="1" x14ac:dyDescent="0.25">
      <c r="A2549">
        <v>1912</v>
      </c>
      <c r="B2549" t="s">
        <v>166</v>
      </c>
      <c r="C2549">
        <v>899</v>
      </c>
      <c r="D2549" t="s">
        <v>165</v>
      </c>
      <c r="E2549">
        <v>25.99</v>
      </c>
    </row>
    <row r="2550" spans="1:5" ht="15" customHeight="1" x14ac:dyDescent="0.25">
      <c r="A2550">
        <v>1912</v>
      </c>
      <c r="B2550" t="s">
        <v>166</v>
      </c>
      <c r="C2550">
        <v>1912</v>
      </c>
      <c r="D2550" t="s">
        <v>166</v>
      </c>
      <c r="E2550">
        <v>0</v>
      </c>
    </row>
    <row r="2551" spans="1:5" ht="15" customHeight="1" x14ac:dyDescent="0.25">
      <c r="A2551">
        <v>1912</v>
      </c>
      <c r="B2551" t="s">
        <v>166</v>
      </c>
      <c r="C2551">
        <v>9999</v>
      </c>
      <c r="D2551" t="s">
        <v>117</v>
      </c>
      <c r="E2551">
        <v>25.9</v>
      </c>
    </row>
    <row r="2552" spans="1:5" ht="15" customHeight="1" x14ac:dyDescent="0.25">
      <c r="A2552">
        <v>9999</v>
      </c>
      <c r="B2552" t="s">
        <v>117</v>
      </c>
      <c r="C2552">
        <v>1</v>
      </c>
      <c r="D2552" t="s">
        <v>117</v>
      </c>
      <c r="E2552">
        <v>0</v>
      </c>
    </row>
    <row r="2553" spans="1:5" ht="15" customHeight="1" x14ac:dyDescent="0.25">
      <c r="A2553">
        <v>9999</v>
      </c>
      <c r="B2553" t="s">
        <v>117</v>
      </c>
      <c r="C2553">
        <v>3</v>
      </c>
      <c r="D2553" t="s">
        <v>118</v>
      </c>
      <c r="E2553">
        <v>58.48</v>
      </c>
    </row>
    <row r="2554" spans="1:5" ht="15" customHeight="1" x14ac:dyDescent="0.25">
      <c r="A2554">
        <v>9999</v>
      </c>
      <c r="B2554" t="s">
        <v>117</v>
      </c>
      <c r="C2554">
        <v>5</v>
      </c>
      <c r="D2554" t="s">
        <v>119</v>
      </c>
      <c r="E2554">
        <v>105.86</v>
      </c>
    </row>
    <row r="2555" spans="1:5" ht="15" customHeight="1" x14ac:dyDescent="0.25">
      <c r="A2555">
        <v>9999</v>
      </c>
      <c r="B2555" t="s">
        <v>117</v>
      </c>
      <c r="C2555">
        <v>11</v>
      </c>
      <c r="D2555" t="s">
        <v>120</v>
      </c>
      <c r="E2555">
        <v>85.52</v>
      </c>
    </row>
    <row r="2556" spans="1:5" ht="15" customHeight="1" x14ac:dyDescent="0.25">
      <c r="A2556">
        <v>9999</v>
      </c>
      <c r="B2556" t="s">
        <v>117</v>
      </c>
      <c r="C2556">
        <v>12</v>
      </c>
      <c r="D2556" t="s">
        <v>121</v>
      </c>
      <c r="E2556">
        <v>54.85</v>
      </c>
    </row>
    <row r="2557" spans="1:5" ht="15" customHeight="1" x14ac:dyDescent="0.25">
      <c r="A2557">
        <v>9999</v>
      </c>
      <c r="B2557" t="s">
        <v>117</v>
      </c>
      <c r="C2557">
        <v>29</v>
      </c>
      <c r="D2557" t="s">
        <v>122</v>
      </c>
      <c r="E2557">
        <v>120.87</v>
      </c>
    </row>
    <row r="2558" spans="1:5" ht="15" customHeight="1" x14ac:dyDescent="0.25">
      <c r="A2558">
        <v>9999</v>
      </c>
      <c r="B2558" t="s">
        <v>117</v>
      </c>
      <c r="C2558">
        <v>70</v>
      </c>
      <c r="D2558" t="s">
        <v>123</v>
      </c>
      <c r="E2558">
        <v>81.53</v>
      </c>
    </row>
    <row r="2559" spans="1:5" ht="15" customHeight="1" x14ac:dyDescent="0.25">
      <c r="A2559">
        <v>9999</v>
      </c>
      <c r="B2559" t="s">
        <v>117</v>
      </c>
      <c r="C2559">
        <v>71</v>
      </c>
      <c r="D2559" t="s">
        <v>124</v>
      </c>
      <c r="E2559">
        <v>125.67</v>
      </c>
    </row>
    <row r="2560" spans="1:5" ht="15" customHeight="1" x14ac:dyDescent="0.25">
      <c r="A2560">
        <v>9999</v>
      </c>
      <c r="B2560" t="s">
        <v>117</v>
      </c>
      <c r="C2560">
        <v>384</v>
      </c>
      <c r="D2560" t="s">
        <v>125</v>
      </c>
      <c r="E2560">
        <v>0.87</v>
      </c>
    </row>
    <row r="2561" spans="1:5" ht="15" customHeight="1" x14ac:dyDescent="0.25">
      <c r="A2561">
        <v>9999</v>
      </c>
      <c r="B2561" t="s">
        <v>117</v>
      </c>
      <c r="C2561">
        <v>429</v>
      </c>
      <c r="D2561" t="s">
        <v>126</v>
      </c>
      <c r="E2561">
        <v>69.59</v>
      </c>
    </row>
    <row r="2562" spans="1:5" ht="15" customHeight="1" x14ac:dyDescent="0.25">
      <c r="A2562">
        <v>9999</v>
      </c>
      <c r="B2562" t="s">
        <v>117</v>
      </c>
      <c r="C2562">
        <v>486</v>
      </c>
      <c r="D2562" t="s">
        <v>127</v>
      </c>
      <c r="E2562">
        <v>66.58</v>
      </c>
    </row>
    <row r="2563" spans="1:5" ht="15" customHeight="1" x14ac:dyDescent="0.25">
      <c r="A2563">
        <v>9999</v>
      </c>
      <c r="B2563" t="s">
        <v>117</v>
      </c>
      <c r="C2563">
        <v>546</v>
      </c>
      <c r="D2563" t="s">
        <v>128</v>
      </c>
      <c r="E2563">
        <v>72.47</v>
      </c>
    </row>
    <row r="2564" spans="1:5" ht="15" customHeight="1" x14ac:dyDescent="0.25">
      <c r="A2564">
        <v>9999</v>
      </c>
      <c r="B2564" t="s">
        <v>117</v>
      </c>
      <c r="C2564">
        <v>599</v>
      </c>
      <c r="D2564" t="s">
        <v>129</v>
      </c>
      <c r="E2564">
        <v>5.18</v>
      </c>
    </row>
    <row r="2565" spans="1:5" ht="15" customHeight="1" x14ac:dyDescent="0.25">
      <c r="A2565">
        <v>9999</v>
      </c>
      <c r="B2565" t="s">
        <v>117</v>
      </c>
      <c r="C2565">
        <v>620</v>
      </c>
      <c r="D2565" t="s">
        <v>130</v>
      </c>
      <c r="E2565">
        <v>41.48</v>
      </c>
    </row>
    <row r="2566" spans="1:5" ht="15" customHeight="1" x14ac:dyDescent="0.25">
      <c r="A2566">
        <v>9999</v>
      </c>
      <c r="B2566" t="s">
        <v>117</v>
      </c>
      <c r="C2566">
        <v>626</v>
      </c>
      <c r="D2566" t="s">
        <v>131</v>
      </c>
      <c r="E2566">
        <v>3.49</v>
      </c>
    </row>
    <row r="2567" spans="1:5" ht="15" customHeight="1" x14ac:dyDescent="0.25">
      <c r="A2567">
        <v>9999</v>
      </c>
      <c r="B2567" t="s">
        <v>117</v>
      </c>
      <c r="C2567">
        <v>627</v>
      </c>
      <c r="D2567" t="s">
        <v>132</v>
      </c>
      <c r="E2567">
        <v>4.9800000000000004</v>
      </c>
    </row>
    <row r="2568" spans="1:5" ht="15" customHeight="1" x14ac:dyDescent="0.25">
      <c r="A2568">
        <v>9999</v>
      </c>
      <c r="B2568" t="s">
        <v>117</v>
      </c>
      <c r="C2568">
        <v>651</v>
      </c>
      <c r="D2568" t="s">
        <v>133</v>
      </c>
      <c r="E2568">
        <v>2.4900000000000002</v>
      </c>
    </row>
    <row r="2569" spans="1:5" ht="15" customHeight="1" x14ac:dyDescent="0.25">
      <c r="A2569">
        <v>9999</v>
      </c>
      <c r="B2569" t="s">
        <v>117</v>
      </c>
      <c r="C2569">
        <v>668</v>
      </c>
      <c r="D2569" t="s">
        <v>134</v>
      </c>
      <c r="E2569">
        <v>3.24</v>
      </c>
    </row>
    <row r="2570" spans="1:5" ht="15" customHeight="1" x14ac:dyDescent="0.25">
      <c r="A2570">
        <v>9999</v>
      </c>
      <c r="B2570" t="s">
        <v>117</v>
      </c>
      <c r="C2570">
        <v>681</v>
      </c>
      <c r="D2570" t="s">
        <v>135</v>
      </c>
      <c r="E2570">
        <v>3.26</v>
      </c>
    </row>
    <row r="2571" spans="1:5" ht="15" customHeight="1" x14ac:dyDescent="0.25">
      <c r="A2571">
        <v>9999</v>
      </c>
      <c r="B2571" t="s">
        <v>117</v>
      </c>
      <c r="C2571">
        <v>682</v>
      </c>
      <c r="D2571" t="s">
        <v>136</v>
      </c>
      <c r="E2571">
        <v>0.68</v>
      </c>
    </row>
    <row r="2572" spans="1:5" ht="15" customHeight="1" x14ac:dyDescent="0.25">
      <c r="A2572">
        <v>9999</v>
      </c>
      <c r="B2572" t="s">
        <v>117</v>
      </c>
      <c r="C2572">
        <v>683</v>
      </c>
      <c r="D2572" t="s">
        <v>137</v>
      </c>
      <c r="E2572">
        <v>0.53</v>
      </c>
    </row>
    <row r="2573" spans="1:5" ht="15" customHeight="1" x14ac:dyDescent="0.25">
      <c r="A2573">
        <v>9999</v>
      </c>
      <c r="B2573" t="s">
        <v>117</v>
      </c>
      <c r="C2573">
        <v>684</v>
      </c>
      <c r="D2573" t="s">
        <v>138</v>
      </c>
      <c r="E2573">
        <v>1.35</v>
      </c>
    </row>
    <row r="2574" spans="1:5" ht="15" customHeight="1" x14ac:dyDescent="0.25">
      <c r="A2574">
        <v>9999</v>
      </c>
      <c r="B2574" t="s">
        <v>117</v>
      </c>
      <c r="C2574">
        <v>685</v>
      </c>
      <c r="D2574" t="s">
        <v>139</v>
      </c>
      <c r="E2574">
        <v>1.84</v>
      </c>
    </row>
    <row r="2575" spans="1:5" ht="15" customHeight="1" x14ac:dyDescent="0.25">
      <c r="A2575">
        <v>9999</v>
      </c>
      <c r="B2575" t="s">
        <v>117</v>
      </c>
      <c r="C2575">
        <v>691</v>
      </c>
      <c r="D2575" t="s">
        <v>140</v>
      </c>
      <c r="E2575">
        <v>3.2</v>
      </c>
    </row>
    <row r="2576" spans="1:5" ht="15" customHeight="1" x14ac:dyDescent="0.25">
      <c r="A2576">
        <v>9999</v>
      </c>
      <c r="B2576" t="s">
        <v>117</v>
      </c>
      <c r="C2576">
        <v>706</v>
      </c>
      <c r="D2576" t="s">
        <v>141</v>
      </c>
      <c r="E2576">
        <v>2.0299999999999998</v>
      </c>
    </row>
    <row r="2577" spans="1:5" ht="15" customHeight="1" x14ac:dyDescent="0.25">
      <c r="A2577">
        <v>9999</v>
      </c>
      <c r="B2577" t="s">
        <v>117</v>
      </c>
      <c r="C2577">
        <v>713</v>
      </c>
      <c r="D2577" t="s">
        <v>142</v>
      </c>
      <c r="E2577">
        <v>1.72</v>
      </c>
    </row>
    <row r="2578" spans="1:5" ht="15" customHeight="1" x14ac:dyDescent="0.25">
      <c r="A2578">
        <v>9999</v>
      </c>
      <c r="B2578" t="s">
        <v>117</v>
      </c>
      <c r="C2578">
        <v>718</v>
      </c>
      <c r="D2578" t="s">
        <v>143</v>
      </c>
      <c r="E2578">
        <v>3.03</v>
      </c>
    </row>
    <row r="2579" spans="1:5" ht="15" customHeight="1" x14ac:dyDescent="0.25">
      <c r="A2579">
        <v>9999</v>
      </c>
      <c r="B2579" t="s">
        <v>117</v>
      </c>
      <c r="C2579">
        <v>731</v>
      </c>
      <c r="D2579" t="s">
        <v>144</v>
      </c>
      <c r="E2579">
        <v>30.38</v>
      </c>
    </row>
    <row r="2580" spans="1:5" ht="15" customHeight="1" x14ac:dyDescent="0.25">
      <c r="A2580">
        <v>9999</v>
      </c>
      <c r="B2580" t="s">
        <v>117</v>
      </c>
      <c r="C2580">
        <v>743</v>
      </c>
      <c r="D2580" t="s">
        <v>145</v>
      </c>
      <c r="E2580">
        <v>14.78</v>
      </c>
    </row>
    <row r="2581" spans="1:5" ht="15" customHeight="1" x14ac:dyDescent="0.25">
      <c r="A2581">
        <v>9999</v>
      </c>
      <c r="B2581" t="s">
        <v>117</v>
      </c>
      <c r="C2581">
        <v>760</v>
      </c>
      <c r="D2581" t="s">
        <v>146</v>
      </c>
      <c r="E2581">
        <v>2.4700000000000002</v>
      </c>
    </row>
    <row r="2582" spans="1:5" ht="15" customHeight="1" x14ac:dyDescent="0.25">
      <c r="A2582">
        <v>9999</v>
      </c>
      <c r="B2582" t="s">
        <v>117</v>
      </c>
      <c r="C2582">
        <v>765</v>
      </c>
      <c r="D2582" t="s">
        <v>147</v>
      </c>
      <c r="E2582">
        <v>4.4000000000000004</v>
      </c>
    </row>
    <row r="2583" spans="1:5" ht="15" customHeight="1" x14ac:dyDescent="0.25">
      <c r="A2583">
        <v>9999</v>
      </c>
      <c r="B2583" t="s">
        <v>117</v>
      </c>
      <c r="C2583">
        <v>766</v>
      </c>
      <c r="D2583" t="s">
        <v>148</v>
      </c>
      <c r="E2583">
        <v>1.77</v>
      </c>
    </row>
    <row r="2584" spans="1:5" ht="15" customHeight="1" x14ac:dyDescent="0.25">
      <c r="A2584">
        <v>9999</v>
      </c>
      <c r="B2584" t="s">
        <v>117</v>
      </c>
      <c r="C2584">
        <v>767</v>
      </c>
      <c r="D2584" t="s">
        <v>149</v>
      </c>
      <c r="E2584">
        <v>6.29</v>
      </c>
    </row>
    <row r="2585" spans="1:5" ht="15" customHeight="1" x14ac:dyDescent="0.25">
      <c r="A2585">
        <v>9999</v>
      </c>
      <c r="B2585" t="s">
        <v>117</v>
      </c>
      <c r="C2585">
        <v>795</v>
      </c>
      <c r="D2585" t="s">
        <v>150</v>
      </c>
      <c r="E2585">
        <v>1.37</v>
      </c>
    </row>
    <row r="2586" spans="1:5" ht="15" customHeight="1" x14ac:dyDescent="0.25">
      <c r="A2586">
        <v>9999</v>
      </c>
      <c r="B2586" t="s">
        <v>117</v>
      </c>
      <c r="C2586">
        <v>798</v>
      </c>
      <c r="D2586" t="s">
        <v>151</v>
      </c>
      <c r="E2586">
        <v>4.54</v>
      </c>
    </row>
    <row r="2587" spans="1:5" ht="15" customHeight="1" x14ac:dyDescent="0.25">
      <c r="A2587">
        <v>9999</v>
      </c>
      <c r="B2587" t="s">
        <v>117</v>
      </c>
      <c r="C2587">
        <v>799</v>
      </c>
      <c r="D2587" t="s">
        <v>152</v>
      </c>
      <c r="E2587">
        <v>3.18</v>
      </c>
    </row>
    <row r="2588" spans="1:5" ht="15" customHeight="1" x14ac:dyDescent="0.25">
      <c r="A2588">
        <v>9999</v>
      </c>
      <c r="B2588" t="s">
        <v>117</v>
      </c>
      <c r="C2588">
        <v>811</v>
      </c>
      <c r="D2588" t="s">
        <v>153</v>
      </c>
      <c r="E2588">
        <v>5.74</v>
      </c>
    </row>
    <row r="2589" spans="1:5" ht="15" customHeight="1" x14ac:dyDescent="0.25">
      <c r="A2589">
        <v>9999</v>
      </c>
      <c r="B2589" t="s">
        <v>117</v>
      </c>
      <c r="C2589">
        <v>820</v>
      </c>
      <c r="D2589" t="s">
        <v>154</v>
      </c>
      <c r="E2589">
        <v>3.36</v>
      </c>
    </row>
    <row r="2590" spans="1:5" ht="15" customHeight="1" x14ac:dyDescent="0.25">
      <c r="A2590">
        <v>9999</v>
      </c>
      <c r="B2590" t="s">
        <v>117</v>
      </c>
      <c r="C2590">
        <v>830</v>
      </c>
      <c r="D2590" t="s">
        <v>155</v>
      </c>
      <c r="E2590">
        <v>3.67</v>
      </c>
    </row>
    <row r="2591" spans="1:5" ht="15" customHeight="1" x14ac:dyDescent="0.25">
      <c r="A2591">
        <v>9999</v>
      </c>
      <c r="B2591" t="s">
        <v>117</v>
      </c>
      <c r="C2591">
        <v>831</v>
      </c>
      <c r="D2591" t="s">
        <v>156</v>
      </c>
      <c r="E2591">
        <v>7.41</v>
      </c>
    </row>
    <row r="2592" spans="1:5" ht="15" customHeight="1" x14ac:dyDescent="0.25">
      <c r="A2592">
        <v>9999</v>
      </c>
      <c r="B2592" t="s">
        <v>117</v>
      </c>
      <c r="C2592">
        <v>832</v>
      </c>
      <c r="D2592" t="s">
        <v>157</v>
      </c>
      <c r="E2592">
        <v>3.56</v>
      </c>
    </row>
    <row r="2593" spans="1:7" ht="15" customHeight="1" x14ac:dyDescent="0.25">
      <c r="A2593">
        <v>9999</v>
      </c>
      <c r="B2593" t="s">
        <v>117</v>
      </c>
      <c r="C2593">
        <v>833</v>
      </c>
      <c r="D2593" t="s">
        <v>158</v>
      </c>
      <c r="E2593">
        <v>2</v>
      </c>
    </row>
    <row r="2594" spans="1:7" ht="15" customHeight="1" x14ac:dyDescent="0.25">
      <c r="A2594">
        <v>9999</v>
      </c>
      <c r="B2594" t="s">
        <v>117</v>
      </c>
      <c r="C2594">
        <v>840</v>
      </c>
      <c r="D2594" t="s">
        <v>159</v>
      </c>
      <c r="E2594">
        <v>5.67</v>
      </c>
    </row>
    <row r="2595" spans="1:7" ht="15" customHeight="1" x14ac:dyDescent="0.25">
      <c r="A2595">
        <v>9999</v>
      </c>
      <c r="B2595" t="s">
        <v>117</v>
      </c>
      <c r="C2595">
        <v>841</v>
      </c>
      <c r="D2595" t="s">
        <v>160</v>
      </c>
      <c r="E2595">
        <v>1.97</v>
      </c>
    </row>
    <row r="2596" spans="1:7" ht="15" customHeight="1" x14ac:dyDescent="0.25">
      <c r="A2596">
        <v>9999</v>
      </c>
      <c r="B2596" t="s">
        <v>117</v>
      </c>
      <c r="C2596">
        <v>842</v>
      </c>
      <c r="D2596" t="s">
        <v>161</v>
      </c>
      <c r="E2596">
        <v>3.44</v>
      </c>
    </row>
    <row r="2597" spans="1:7" ht="15" customHeight="1" x14ac:dyDescent="0.25">
      <c r="A2597">
        <v>9999</v>
      </c>
      <c r="B2597" t="s">
        <v>117</v>
      </c>
      <c r="C2597">
        <v>847</v>
      </c>
      <c r="D2597" t="s">
        <v>162</v>
      </c>
      <c r="E2597">
        <v>2.13</v>
      </c>
    </row>
    <row r="2598" spans="1:7" ht="15" customHeight="1" x14ac:dyDescent="0.25">
      <c r="A2598">
        <v>9999</v>
      </c>
      <c r="B2598" t="s">
        <v>117</v>
      </c>
      <c r="C2598">
        <v>877</v>
      </c>
      <c r="D2598" t="s">
        <v>163</v>
      </c>
      <c r="E2598">
        <v>20.91</v>
      </c>
      <c r="G2598">
        <f>51*51</f>
        <v>2601</v>
      </c>
    </row>
    <row r="2599" spans="1:7" ht="15" customHeight="1" x14ac:dyDescent="0.25">
      <c r="A2599">
        <v>9999</v>
      </c>
      <c r="B2599" t="s">
        <v>117</v>
      </c>
      <c r="C2599">
        <v>898</v>
      </c>
      <c r="D2599" t="s">
        <v>164</v>
      </c>
      <c r="E2599">
        <v>4.0999999999999996</v>
      </c>
    </row>
    <row r="2600" spans="1:7" ht="15" customHeight="1" x14ac:dyDescent="0.25">
      <c r="A2600">
        <v>9999</v>
      </c>
      <c r="B2600" t="s">
        <v>117</v>
      </c>
      <c r="C2600">
        <v>899</v>
      </c>
      <c r="D2600" t="s">
        <v>165</v>
      </c>
      <c r="E2600">
        <v>4.21</v>
      </c>
    </row>
    <row r="2601" spans="1:7" ht="15" customHeight="1" x14ac:dyDescent="0.25">
      <c r="A2601">
        <v>9999</v>
      </c>
      <c r="B2601" t="s">
        <v>117</v>
      </c>
      <c r="C2601">
        <v>1912</v>
      </c>
      <c r="D2601" t="s">
        <v>166</v>
      </c>
      <c r="E2601">
        <v>25.9</v>
      </c>
    </row>
    <row r="2602" spans="1:7" ht="15" customHeight="1" x14ac:dyDescent="0.25">
      <c r="A2602">
        <v>9999</v>
      </c>
      <c r="B2602" t="s">
        <v>117</v>
      </c>
      <c r="C2602">
        <v>9999</v>
      </c>
      <c r="D2602" t="s">
        <v>117</v>
      </c>
      <c r="E2602">
        <v>0</v>
      </c>
    </row>
  </sheetData>
  <autoFilter ref="A1:E1"/>
  <sortState ref="A2:G1522">
    <sortCondition ref="A2:A1522"/>
    <sortCondition ref="C2:C1522"/>
  </sortState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:I20"/>
  <sheetViews>
    <sheetView showGridLines="0" workbookViewId="0">
      <selection sqref="A1:I8"/>
    </sheetView>
  </sheetViews>
  <sheetFormatPr defaultRowHeight="15" x14ac:dyDescent="0.25"/>
  <cols>
    <col min="1" max="1" width="51.85546875" customWidth="1"/>
    <col min="2" max="2" width="20.28515625" bestFit="1" customWidth="1"/>
    <col min="3" max="8" width="16" customWidth="1"/>
    <col min="9" max="9" width="20.7109375" customWidth="1"/>
  </cols>
  <sheetData>
    <row r="1" spans="1:9" ht="19.5" thickBot="1" x14ac:dyDescent="0.35">
      <c r="A1" s="32" t="s">
        <v>115</v>
      </c>
      <c r="B1" s="33" t="s">
        <v>107</v>
      </c>
      <c r="C1" s="29" t="s">
        <v>108</v>
      </c>
      <c r="D1" s="29" t="s">
        <v>109</v>
      </c>
      <c r="E1" s="29" t="s">
        <v>110</v>
      </c>
      <c r="F1" s="29" t="s">
        <v>111</v>
      </c>
      <c r="G1" s="30" t="s">
        <v>112</v>
      </c>
      <c r="H1" s="34" t="s">
        <v>113</v>
      </c>
      <c r="I1" s="31" t="s">
        <v>114</v>
      </c>
    </row>
    <row r="2" spans="1:9" ht="19.5" thickTop="1" x14ac:dyDescent="0.3">
      <c r="A2" s="27" t="s">
        <v>104</v>
      </c>
      <c r="B2" s="35">
        <v>2097.3139000000001</v>
      </c>
      <c r="C2" s="36">
        <v>2535.2641000000003</v>
      </c>
      <c r="D2" s="36">
        <v>2582.7928999999999</v>
      </c>
      <c r="E2" s="36">
        <v>2519.2869000000001</v>
      </c>
      <c r="F2" s="36">
        <v>2515.6445000000003</v>
      </c>
      <c r="G2" s="37">
        <v>2514.0669000000003</v>
      </c>
      <c r="H2" s="36">
        <v>2513.2317000000003</v>
      </c>
      <c r="I2" s="36">
        <v>17277.600900000001</v>
      </c>
    </row>
    <row r="3" spans="1:9" ht="18.75" x14ac:dyDescent="0.3">
      <c r="A3" s="28" t="s">
        <v>101</v>
      </c>
      <c r="B3" s="38">
        <v>217.57750000000001</v>
      </c>
      <c r="C3" s="39">
        <v>315.80849999999998</v>
      </c>
      <c r="D3" s="39">
        <v>323.15850000000006</v>
      </c>
      <c r="E3" s="39">
        <v>335.0025</v>
      </c>
      <c r="F3" s="39">
        <v>335.0025</v>
      </c>
      <c r="G3" s="40">
        <v>335.0025</v>
      </c>
      <c r="H3" s="39">
        <v>335.0025</v>
      </c>
      <c r="I3" s="39">
        <v>2196.5545000000002</v>
      </c>
    </row>
    <row r="4" spans="1:9" ht="18.75" x14ac:dyDescent="0.3">
      <c r="A4" s="27" t="s">
        <v>102</v>
      </c>
      <c r="B4" s="35">
        <v>1768.23</v>
      </c>
      <c r="C4" s="36">
        <v>2161.17</v>
      </c>
      <c r="D4" s="36">
        <v>2226.66</v>
      </c>
      <c r="E4" s="36">
        <v>2161.17</v>
      </c>
      <c r="F4" s="36">
        <v>2161.17</v>
      </c>
      <c r="G4" s="37">
        <v>2161.17</v>
      </c>
      <c r="H4" s="36">
        <v>2161.17</v>
      </c>
      <c r="I4" s="36">
        <v>14800.74</v>
      </c>
    </row>
    <row r="5" spans="1:9" ht="18.75" x14ac:dyDescent="0.3">
      <c r="A5" s="28" t="s">
        <v>106</v>
      </c>
      <c r="B5" s="38">
        <v>108.50640000000003</v>
      </c>
      <c r="C5" s="39">
        <v>55.285600000000009</v>
      </c>
      <c r="D5" s="39">
        <v>29.974400000000003</v>
      </c>
      <c r="E5" s="39">
        <v>20.114400000000003</v>
      </c>
      <c r="F5" s="39">
        <v>16.472000000000001</v>
      </c>
      <c r="G5" s="40">
        <v>14.894400000000001</v>
      </c>
      <c r="H5" s="39">
        <v>14.059200000000001</v>
      </c>
      <c r="I5" s="39">
        <v>259.3064</v>
      </c>
    </row>
    <row r="6" spans="1:9" ht="18.75" x14ac:dyDescent="0.3">
      <c r="A6" s="27" t="s">
        <v>103</v>
      </c>
      <c r="B6" s="35">
        <v>3</v>
      </c>
      <c r="C6" s="36">
        <v>3</v>
      </c>
      <c r="D6" s="36">
        <v>3</v>
      </c>
      <c r="E6" s="36">
        <v>3</v>
      </c>
      <c r="F6" s="36">
        <v>3</v>
      </c>
      <c r="G6" s="37">
        <v>3</v>
      </c>
      <c r="H6" s="36">
        <v>3</v>
      </c>
      <c r="I6" s="36">
        <v>21</v>
      </c>
    </row>
    <row r="7" spans="1:9" ht="18.75" x14ac:dyDescent="0.3">
      <c r="A7" s="28" t="s">
        <v>105</v>
      </c>
      <c r="B7" s="38">
        <v>207.2166666666667</v>
      </c>
      <c r="C7" s="39">
        <v>300.77</v>
      </c>
      <c r="D7" s="39">
        <v>307.77000000000004</v>
      </c>
      <c r="E7" s="39">
        <v>319.05</v>
      </c>
      <c r="F7" s="39">
        <v>319.05</v>
      </c>
      <c r="G7" s="40">
        <v>319.05</v>
      </c>
      <c r="H7" s="39">
        <v>319.05</v>
      </c>
      <c r="I7" s="68">
        <f>MAX(B7:H7)</f>
        <v>319.05</v>
      </c>
    </row>
    <row r="8" spans="1:9" ht="18.75" x14ac:dyDescent="0.3">
      <c r="A8" s="63" t="s">
        <v>116</v>
      </c>
      <c r="B8" s="64">
        <v>0.68548148148148136</v>
      </c>
      <c r="C8" s="65">
        <v>0.94337777777777787</v>
      </c>
      <c r="D8" s="65">
        <v>0.96726666666666661</v>
      </c>
      <c r="E8" s="65">
        <v>0.98399999999999999</v>
      </c>
      <c r="F8" s="65">
        <v>0.98399999999999999</v>
      </c>
      <c r="G8" s="66">
        <v>0.98399999999999999</v>
      </c>
      <c r="H8" s="65">
        <v>0.98399999999999999</v>
      </c>
      <c r="I8" s="67">
        <f>AVERAGE(B8:H8)</f>
        <v>0.93316084656084652</v>
      </c>
    </row>
    <row r="9" spans="1:9" x14ac:dyDescent="0.25">
      <c r="I9" t="e">
        <f>AVERAGE(B9:H9)</f>
        <v>#DIV/0!</v>
      </c>
    </row>
    <row r="11" spans="1:9" x14ac:dyDescent="0.25">
      <c r="B11" s="53"/>
    </row>
    <row r="13" spans="1:9" x14ac:dyDescent="0.25">
      <c r="B13" s="53">
        <v>9.7722222222222204</v>
      </c>
      <c r="C13">
        <v>9.7722222222222204</v>
      </c>
      <c r="D13">
        <v>9.7722222222222204</v>
      </c>
      <c r="E13">
        <v>9.7722222222222204</v>
      </c>
      <c r="F13">
        <v>9.7722222222222204</v>
      </c>
      <c r="G13">
        <v>9.7722222222222204</v>
      </c>
      <c r="H13">
        <v>9.7722222222222204</v>
      </c>
    </row>
    <row r="14" spans="1:9" x14ac:dyDescent="0.25">
      <c r="B14">
        <v>9.8591111111111118</v>
      </c>
      <c r="C14">
        <v>9.8591111111111118</v>
      </c>
      <c r="D14">
        <v>9.8591111111111118</v>
      </c>
      <c r="E14">
        <v>9.8591111111111118</v>
      </c>
      <c r="F14">
        <v>9.8591111111111118</v>
      </c>
      <c r="G14">
        <v>9.8591111111111118</v>
      </c>
      <c r="H14">
        <v>9.8591111111111118</v>
      </c>
    </row>
    <row r="15" spans="1:9" x14ac:dyDescent="0.25">
      <c r="B15">
        <v>10</v>
      </c>
      <c r="C15">
        <v>10</v>
      </c>
      <c r="D15">
        <v>10</v>
      </c>
      <c r="E15">
        <v>10</v>
      </c>
      <c r="F15">
        <v>10</v>
      </c>
      <c r="G15">
        <v>10</v>
      </c>
      <c r="H15">
        <v>10</v>
      </c>
    </row>
    <row r="16" spans="1:9" x14ac:dyDescent="0.25">
      <c r="B16">
        <v>29.52</v>
      </c>
      <c r="C16">
        <v>29.52</v>
      </c>
      <c r="D16">
        <v>29.52</v>
      </c>
      <c r="E16">
        <v>29.52</v>
      </c>
      <c r="F16">
        <v>29.52</v>
      </c>
      <c r="G16">
        <v>29.52</v>
      </c>
      <c r="H16">
        <v>29.52</v>
      </c>
    </row>
    <row r="18" spans="1:9" ht="18.75" x14ac:dyDescent="0.3">
      <c r="A18">
        <v>9</v>
      </c>
      <c r="B18" s="64">
        <v>0.98432098765432108</v>
      </c>
      <c r="C18" s="65">
        <v>0.32269135802469134</v>
      </c>
      <c r="D18" s="65">
        <v>0.21607407407407414</v>
      </c>
      <c r="E18" s="65">
        <v>0.23706995884773668</v>
      </c>
      <c r="F18" s="65">
        <v>0.24178600823045271</v>
      </c>
      <c r="G18" s="66">
        <v>0.51791769547325106</v>
      </c>
      <c r="H18" s="65">
        <v>0.39172839506172841</v>
      </c>
      <c r="I18" s="67">
        <f>AVERAGE(B18:H18)</f>
        <v>0.41594121105232224</v>
      </c>
    </row>
    <row r="20" spans="1:9" ht="18.75" x14ac:dyDescent="0.3">
      <c r="A20">
        <v>8</v>
      </c>
      <c r="B20" s="64">
        <v>0.98875000000000002</v>
      </c>
      <c r="C20" s="65">
        <v>0.36368518518518522</v>
      </c>
      <c r="D20" s="65">
        <v>0.2430833333333334</v>
      </c>
      <c r="E20" s="65">
        <v>0.26670370370370378</v>
      </c>
      <c r="F20" s="65">
        <v>0.27200925925925928</v>
      </c>
      <c r="G20" s="66">
        <v>0.58228703703703699</v>
      </c>
      <c r="H20" s="65">
        <v>0.43973148148148145</v>
      </c>
      <c r="I20" s="67">
        <f>AVERAGE(B20:H20)</f>
        <v>0.45089285714285715</v>
      </c>
    </row>
  </sheetData>
  <pageMargins left="0.7" right="0.7" top="0.75" bottom="0.75" header="0.3" footer="0.3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BT64"/>
  <sheetViews>
    <sheetView showGridLines="0" workbookViewId="0">
      <pane xSplit="1" topLeftCell="B1" activePane="topRight" state="frozen"/>
      <selection pane="topRight" activeCell="C2" sqref="C2"/>
    </sheetView>
  </sheetViews>
  <sheetFormatPr defaultRowHeight="15" x14ac:dyDescent="0.25"/>
  <cols>
    <col min="2" max="2" width="34.140625" bestFit="1" customWidth="1"/>
    <col min="3" max="6" width="10.7109375" customWidth="1"/>
    <col min="7" max="7" width="10.7109375" style="61" customWidth="1"/>
    <col min="8" max="8" width="10.7109375" customWidth="1"/>
    <col min="9" max="9" width="12.7109375" customWidth="1"/>
    <col min="10" max="10" width="10.7109375" customWidth="1"/>
    <col min="11" max="11" width="11.7109375" hidden="1" customWidth="1"/>
    <col min="12" max="12" width="10.7109375" hidden="1" customWidth="1"/>
    <col min="13" max="13" width="10.7109375" customWidth="1"/>
    <col min="14" max="14" width="12.42578125" customWidth="1"/>
    <col min="15" max="15" width="10.7109375" style="61" customWidth="1"/>
    <col min="16" max="16" width="10.7109375" customWidth="1"/>
    <col min="17" max="19" width="12.7109375" customWidth="1"/>
    <col min="20" max="20" width="10.7109375" customWidth="1"/>
    <col min="21" max="21" width="11.7109375" customWidth="1"/>
    <col min="22" max="22" width="10.7109375" customWidth="1"/>
    <col min="23" max="25" width="10.7109375" style="61" customWidth="1"/>
    <col min="26" max="28" width="10.7109375" customWidth="1"/>
    <col min="29" max="29" width="12.7109375" customWidth="1"/>
    <col min="30" max="30" width="10.7109375" customWidth="1"/>
    <col min="31" max="31" width="11.7109375" customWidth="1"/>
    <col min="32" max="34" width="10.7109375" customWidth="1"/>
    <col min="35" max="38" width="10.7109375" style="61" customWidth="1"/>
    <col min="39" max="39" width="12.7109375" style="61" customWidth="1"/>
    <col min="40" max="40" width="10.7109375" style="61" customWidth="1"/>
    <col min="41" max="41" width="11.7109375" style="61" customWidth="1"/>
    <col min="42" max="44" width="10.7109375" customWidth="1"/>
    <col min="45" max="45" width="10.7109375" style="61" customWidth="1"/>
    <col min="46" max="46" width="10.7109375" customWidth="1"/>
    <col min="47" max="47" width="10.7109375" style="61" customWidth="1"/>
    <col min="48" max="48" width="10.7109375" customWidth="1"/>
    <col min="49" max="49" width="12.7109375" customWidth="1"/>
    <col min="50" max="50" width="10.7109375" customWidth="1"/>
    <col min="51" max="51" width="11.7109375" customWidth="1"/>
    <col min="52" max="54" width="10.7109375" customWidth="1"/>
    <col min="55" max="55" width="10.7109375" style="61" customWidth="1"/>
    <col min="56" max="56" width="10.7109375" customWidth="1"/>
    <col min="57" max="57" width="10.7109375" style="61" customWidth="1"/>
    <col min="58" max="58" width="10.7109375" customWidth="1"/>
    <col min="59" max="59" width="12.7109375" customWidth="1"/>
    <col min="60" max="60" width="10.7109375" customWidth="1"/>
    <col min="61" max="61" width="11.7109375" customWidth="1"/>
    <col min="62" max="66" width="10.7109375" customWidth="1"/>
    <col min="67" max="67" width="10.7109375" style="61" customWidth="1"/>
    <col min="68" max="68" width="10.7109375" customWidth="1"/>
    <col min="69" max="69" width="12.7109375" customWidth="1"/>
    <col min="70" max="70" width="10.7109375" customWidth="1"/>
    <col min="71" max="71" width="11.7109375" customWidth="1"/>
    <col min="72" max="72" width="10.7109375" customWidth="1"/>
  </cols>
  <sheetData>
    <row r="1" spans="1:72" x14ac:dyDescent="0.25">
      <c r="A1" s="75" t="s">
        <v>183</v>
      </c>
      <c r="B1" s="77" t="s">
        <v>184</v>
      </c>
      <c r="C1" s="81" t="s">
        <v>4</v>
      </c>
      <c r="D1" s="79"/>
      <c r="E1" s="79"/>
      <c r="F1" s="79"/>
      <c r="G1" s="79"/>
      <c r="H1" s="79"/>
      <c r="I1" s="79"/>
      <c r="J1" s="79"/>
      <c r="K1" s="79"/>
      <c r="L1" s="79"/>
      <c r="M1" s="79" t="s">
        <v>5</v>
      </c>
      <c r="N1" s="79"/>
      <c r="O1" s="79"/>
      <c r="P1" s="79"/>
      <c r="Q1" s="79"/>
      <c r="R1" s="79"/>
      <c r="S1" s="79"/>
      <c r="T1" s="79"/>
      <c r="U1" s="79"/>
      <c r="V1" s="79"/>
      <c r="W1" s="79" t="s">
        <v>6</v>
      </c>
      <c r="X1" s="79"/>
      <c r="Y1" s="79"/>
      <c r="Z1" s="79"/>
      <c r="AA1" s="79"/>
      <c r="AB1" s="79"/>
      <c r="AC1" s="79"/>
      <c r="AD1" s="79"/>
      <c r="AE1" s="79"/>
      <c r="AF1" s="79"/>
      <c r="AG1" s="79" t="s">
        <v>7</v>
      </c>
      <c r="AH1" s="79"/>
      <c r="AI1" s="79"/>
      <c r="AJ1" s="79"/>
      <c r="AK1" s="79"/>
      <c r="AL1" s="79"/>
      <c r="AM1" s="79"/>
      <c r="AN1" s="79"/>
      <c r="AO1" s="79"/>
      <c r="AP1" s="79"/>
      <c r="AQ1" s="79" t="s">
        <v>8</v>
      </c>
      <c r="AR1" s="79"/>
      <c r="AS1" s="79"/>
      <c r="AT1" s="79"/>
      <c r="AU1" s="79"/>
      <c r="AV1" s="79"/>
      <c r="AW1" s="79"/>
      <c r="AX1" s="79"/>
      <c r="AY1" s="79"/>
      <c r="AZ1" s="79"/>
      <c r="BA1" s="79" t="s">
        <v>9</v>
      </c>
      <c r="BB1" s="79"/>
      <c r="BC1" s="79"/>
      <c r="BD1" s="79"/>
      <c r="BE1" s="79"/>
      <c r="BF1" s="79"/>
      <c r="BG1" s="79"/>
      <c r="BH1" s="79"/>
      <c r="BI1" s="79"/>
      <c r="BJ1" s="79"/>
      <c r="BK1" s="79" t="s">
        <v>10</v>
      </c>
      <c r="BL1" s="79"/>
      <c r="BM1" s="79"/>
      <c r="BN1" s="79"/>
      <c r="BO1" s="79"/>
      <c r="BP1" s="79"/>
      <c r="BQ1" s="79"/>
      <c r="BR1" s="79"/>
      <c r="BS1" s="79"/>
      <c r="BT1" s="80"/>
    </row>
    <row r="2" spans="1:72" ht="30.75" customHeight="1" thickBot="1" x14ac:dyDescent="0.3">
      <c r="A2" s="76"/>
      <c r="B2" s="78"/>
      <c r="C2" s="49" t="s">
        <v>186</v>
      </c>
      <c r="D2" s="50" t="s">
        <v>79</v>
      </c>
      <c r="E2" s="50" t="s">
        <v>187</v>
      </c>
      <c r="F2" s="50" t="s">
        <v>185</v>
      </c>
      <c r="G2" s="58" t="s">
        <v>86</v>
      </c>
      <c r="H2" s="50" t="s">
        <v>82</v>
      </c>
      <c r="I2" s="50" t="s">
        <v>83</v>
      </c>
      <c r="J2" s="50" t="s">
        <v>90</v>
      </c>
      <c r="K2" s="50" t="s">
        <v>78</v>
      </c>
      <c r="L2" s="51" t="s">
        <v>85</v>
      </c>
      <c r="M2" s="49" t="s">
        <v>186</v>
      </c>
      <c r="N2" s="50" t="s">
        <v>79</v>
      </c>
      <c r="O2" s="58" t="s">
        <v>187</v>
      </c>
      <c r="P2" s="50" t="s">
        <v>185</v>
      </c>
      <c r="Q2" s="50" t="s">
        <v>86</v>
      </c>
      <c r="R2" s="50" t="s">
        <v>82</v>
      </c>
      <c r="S2" s="50" t="s">
        <v>83</v>
      </c>
      <c r="T2" s="50" t="s">
        <v>90</v>
      </c>
      <c r="U2" s="50" t="s">
        <v>78</v>
      </c>
      <c r="V2" s="51" t="s">
        <v>85</v>
      </c>
      <c r="W2" s="62" t="s">
        <v>186</v>
      </c>
      <c r="X2" s="58" t="s">
        <v>79</v>
      </c>
      <c r="Y2" s="58" t="s">
        <v>187</v>
      </c>
      <c r="Z2" s="50" t="s">
        <v>185</v>
      </c>
      <c r="AA2" s="50" t="s">
        <v>86</v>
      </c>
      <c r="AB2" s="50" t="s">
        <v>82</v>
      </c>
      <c r="AC2" s="50" t="s">
        <v>83</v>
      </c>
      <c r="AD2" s="50" t="s">
        <v>90</v>
      </c>
      <c r="AE2" s="50" t="s">
        <v>78</v>
      </c>
      <c r="AF2" s="51" t="s">
        <v>85</v>
      </c>
      <c r="AG2" s="49" t="s">
        <v>186</v>
      </c>
      <c r="AH2" s="50" t="s">
        <v>79</v>
      </c>
      <c r="AI2" s="58" t="s">
        <v>187</v>
      </c>
      <c r="AJ2" s="58" t="s">
        <v>185</v>
      </c>
      <c r="AK2" s="58" t="s">
        <v>86</v>
      </c>
      <c r="AL2" s="58" t="s">
        <v>82</v>
      </c>
      <c r="AM2" s="58" t="s">
        <v>83</v>
      </c>
      <c r="AN2" s="58" t="s">
        <v>90</v>
      </c>
      <c r="AO2" s="58" t="s">
        <v>78</v>
      </c>
      <c r="AP2" s="51" t="s">
        <v>85</v>
      </c>
      <c r="AQ2" s="49" t="s">
        <v>186</v>
      </c>
      <c r="AR2" s="50" t="s">
        <v>79</v>
      </c>
      <c r="AS2" s="58" t="s">
        <v>187</v>
      </c>
      <c r="AT2" s="50" t="s">
        <v>185</v>
      </c>
      <c r="AU2" s="58" t="s">
        <v>86</v>
      </c>
      <c r="AV2" s="50" t="s">
        <v>82</v>
      </c>
      <c r="AW2" s="50" t="s">
        <v>83</v>
      </c>
      <c r="AX2" s="50" t="s">
        <v>90</v>
      </c>
      <c r="AY2" s="50" t="s">
        <v>78</v>
      </c>
      <c r="AZ2" s="51" t="s">
        <v>85</v>
      </c>
      <c r="BA2" s="49" t="s">
        <v>186</v>
      </c>
      <c r="BB2" s="50" t="s">
        <v>79</v>
      </c>
      <c r="BC2" s="58" t="s">
        <v>187</v>
      </c>
      <c r="BD2" s="50" t="s">
        <v>185</v>
      </c>
      <c r="BE2" s="58" t="s">
        <v>86</v>
      </c>
      <c r="BF2" s="50" t="s">
        <v>82</v>
      </c>
      <c r="BG2" s="50" t="s">
        <v>83</v>
      </c>
      <c r="BH2" s="50" t="s">
        <v>90</v>
      </c>
      <c r="BI2" s="50" t="s">
        <v>78</v>
      </c>
      <c r="BJ2" s="51" t="s">
        <v>85</v>
      </c>
      <c r="BK2" s="49" t="s">
        <v>186</v>
      </c>
      <c r="BL2" s="50" t="s">
        <v>79</v>
      </c>
      <c r="BM2" s="50" t="s">
        <v>187</v>
      </c>
      <c r="BN2" s="50" t="s">
        <v>185</v>
      </c>
      <c r="BO2" s="58" t="s">
        <v>86</v>
      </c>
      <c r="BP2" s="50" t="s">
        <v>82</v>
      </c>
      <c r="BQ2" s="50" t="s">
        <v>83</v>
      </c>
      <c r="BR2" s="50" t="s">
        <v>90</v>
      </c>
      <c r="BS2" s="50" t="s">
        <v>78</v>
      </c>
      <c r="BT2" s="72" t="s">
        <v>85</v>
      </c>
    </row>
    <row r="3" spans="1:72" x14ac:dyDescent="0.25">
      <c r="A3">
        <v>1</v>
      </c>
      <c r="B3" t="s">
        <v>117</v>
      </c>
      <c r="C3" s="16">
        <v>5000</v>
      </c>
      <c r="D3" s="7">
        <v>4000</v>
      </c>
      <c r="E3" s="7">
        <v>0</v>
      </c>
      <c r="F3" s="7">
        <v>0</v>
      </c>
      <c r="G3" s="59">
        <v>2</v>
      </c>
      <c r="H3" s="7" t="s">
        <v>150</v>
      </c>
      <c r="I3" s="44" t="s">
        <v>213</v>
      </c>
      <c r="J3" s="7">
        <v>12</v>
      </c>
      <c r="K3" s="44">
        <v>0.80694444444444446</v>
      </c>
      <c r="L3" s="3">
        <v>0</v>
      </c>
      <c r="M3" s="7">
        <v>0</v>
      </c>
      <c r="N3" s="7">
        <v>9500</v>
      </c>
      <c r="O3" s="59">
        <v>0</v>
      </c>
      <c r="P3" s="7">
        <v>0</v>
      </c>
      <c r="Q3" s="44">
        <v>3</v>
      </c>
      <c r="R3" s="44" t="s">
        <v>137</v>
      </c>
      <c r="S3" s="44" t="s">
        <v>213</v>
      </c>
      <c r="T3" s="7">
        <v>10</v>
      </c>
      <c r="U3" s="44">
        <v>0.80069444444444438</v>
      </c>
      <c r="V3" s="3">
        <v>0</v>
      </c>
      <c r="W3" s="59">
        <v>0</v>
      </c>
      <c r="X3" s="59">
        <v>7500</v>
      </c>
      <c r="Y3" s="59">
        <v>0</v>
      </c>
      <c r="Z3" s="7">
        <v>0</v>
      </c>
      <c r="AA3" s="7">
        <v>3</v>
      </c>
      <c r="AB3" s="7" t="s">
        <v>150</v>
      </c>
      <c r="AC3" s="44" t="s">
        <v>213</v>
      </c>
      <c r="AD3" s="7">
        <v>13</v>
      </c>
      <c r="AE3" s="44">
        <v>0.84305555555555556</v>
      </c>
      <c r="AF3" s="3">
        <v>0</v>
      </c>
      <c r="AG3" s="7">
        <v>0</v>
      </c>
      <c r="AH3" s="7">
        <v>0</v>
      </c>
      <c r="AI3" s="59">
        <v>0</v>
      </c>
      <c r="AJ3" s="59">
        <v>0</v>
      </c>
      <c r="AK3" s="59">
        <v>0</v>
      </c>
      <c r="AL3" s="59"/>
      <c r="AM3" s="59"/>
      <c r="AN3" s="59">
        <v>0</v>
      </c>
      <c r="AO3" s="59">
        <v>0.45833333333333331</v>
      </c>
      <c r="AP3" s="3">
        <v>0</v>
      </c>
      <c r="AQ3" s="7">
        <v>0</v>
      </c>
      <c r="AR3" s="7">
        <v>0</v>
      </c>
      <c r="AS3" s="59">
        <v>0</v>
      </c>
      <c r="AT3" s="7">
        <v>0</v>
      </c>
      <c r="AU3" s="59">
        <v>0</v>
      </c>
      <c r="AV3" s="7"/>
      <c r="AW3" s="44"/>
      <c r="AX3" s="7">
        <v>0</v>
      </c>
      <c r="AY3" s="44">
        <v>0.45833333333333331</v>
      </c>
      <c r="AZ3" s="3">
        <v>0</v>
      </c>
      <c r="BA3" s="7">
        <v>0</v>
      </c>
      <c r="BB3" s="7">
        <v>0</v>
      </c>
      <c r="BC3" s="59">
        <v>0</v>
      </c>
      <c r="BD3" s="7">
        <v>0</v>
      </c>
      <c r="BE3" s="59">
        <v>0</v>
      </c>
      <c r="BF3" s="7"/>
      <c r="BG3" s="44"/>
      <c r="BH3" s="7">
        <v>0</v>
      </c>
      <c r="BI3" s="44">
        <v>0.45833333333333331</v>
      </c>
      <c r="BJ3" s="3">
        <v>0</v>
      </c>
      <c r="BK3" s="7">
        <v>0</v>
      </c>
      <c r="BL3" s="7">
        <v>0</v>
      </c>
      <c r="BM3" s="7">
        <v>0</v>
      </c>
      <c r="BN3" s="7">
        <v>0</v>
      </c>
      <c r="BO3" s="59">
        <v>0</v>
      </c>
      <c r="BP3" s="7"/>
      <c r="BQ3" s="44"/>
      <c r="BR3" s="7">
        <v>0</v>
      </c>
      <c r="BS3" s="44">
        <v>0.45833333333333331</v>
      </c>
      <c r="BT3" s="45">
        <v>0</v>
      </c>
    </row>
    <row r="4" spans="1:72" x14ac:dyDescent="0.25">
      <c r="A4">
        <v>3</v>
      </c>
      <c r="B4" t="s">
        <v>118</v>
      </c>
      <c r="C4" s="16">
        <v>2500</v>
      </c>
      <c r="D4" s="7">
        <v>3000</v>
      </c>
      <c r="E4" s="7">
        <v>0</v>
      </c>
      <c r="F4" s="7">
        <v>0</v>
      </c>
      <c r="G4" s="59">
        <v>1</v>
      </c>
      <c r="H4" s="7" t="s">
        <v>120</v>
      </c>
      <c r="I4" s="44" t="s">
        <v>121</v>
      </c>
      <c r="J4" s="7">
        <v>3</v>
      </c>
      <c r="K4" s="44">
        <v>0.67499999999999993</v>
      </c>
      <c r="L4" s="3">
        <v>0</v>
      </c>
      <c r="M4" s="7">
        <v>0</v>
      </c>
      <c r="N4" s="7">
        <v>3000</v>
      </c>
      <c r="O4" s="59">
        <v>0</v>
      </c>
      <c r="P4" s="7">
        <v>0</v>
      </c>
      <c r="Q4" s="44">
        <v>1</v>
      </c>
      <c r="R4" s="44" t="s">
        <v>120</v>
      </c>
      <c r="S4" s="44" t="s">
        <v>166</v>
      </c>
      <c r="T4" s="7">
        <v>3</v>
      </c>
      <c r="U4" s="44">
        <v>0.67499999999999993</v>
      </c>
      <c r="V4" s="3">
        <v>0</v>
      </c>
      <c r="W4" s="59">
        <v>0</v>
      </c>
      <c r="X4" s="59">
        <v>3000</v>
      </c>
      <c r="Y4" s="59">
        <v>0</v>
      </c>
      <c r="Z4" s="7">
        <v>0</v>
      </c>
      <c r="AA4" s="7">
        <v>1</v>
      </c>
      <c r="AB4" s="7" t="s">
        <v>128</v>
      </c>
      <c r="AC4" s="44" t="s">
        <v>120</v>
      </c>
      <c r="AD4" s="7">
        <v>3</v>
      </c>
      <c r="AE4" s="44">
        <v>0.62916666666666665</v>
      </c>
      <c r="AF4" s="3">
        <v>0</v>
      </c>
      <c r="AG4" s="7">
        <v>0</v>
      </c>
      <c r="AH4" s="7">
        <v>4600</v>
      </c>
      <c r="AI4" s="59">
        <v>0</v>
      </c>
      <c r="AJ4" s="59">
        <v>0</v>
      </c>
      <c r="AK4" s="59">
        <v>1</v>
      </c>
      <c r="AL4" s="59" t="s">
        <v>128</v>
      </c>
      <c r="AM4" s="59" t="s">
        <v>120</v>
      </c>
      <c r="AN4" s="59">
        <v>3</v>
      </c>
      <c r="AO4" s="59">
        <v>0.62916666666666665</v>
      </c>
      <c r="AP4" s="3">
        <v>0</v>
      </c>
      <c r="AQ4" s="7">
        <v>0</v>
      </c>
      <c r="AR4" s="7">
        <v>4000</v>
      </c>
      <c r="AS4" s="59">
        <v>0</v>
      </c>
      <c r="AT4" s="7">
        <v>0</v>
      </c>
      <c r="AU4" s="59">
        <v>1</v>
      </c>
      <c r="AV4" s="7" t="s">
        <v>128</v>
      </c>
      <c r="AW4" s="44" t="s">
        <v>120</v>
      </c>
      <c r="AX4" s="7">
        <v>3</v>
      </c>
      <c r="AY4" s="44">
        <v>0.62916666666666665</v>
      </c>
      <c r="AZ4" s="3">
        <v>0</v>
      </c>
      <c r="BA4" s="7">
        <v>0</v>
      </c>
      <c r="BB4" s="7">
        <v>6700</v>
      </c>
      <c r="BC4" s="59">
        <v>0</v>
      </c>
      <c r="BD4" s="7">
        <v>0</v>
      </c>
      <c r="BE4" s="59">
        <v>1</v>
      </c>
      <c r="BF4" s="7" t="s">
        <v>128</v>
      </c>
      <c r="BG4" s="44" t="s">
        <v>120</v>
      </c>
      <c r="BH4" s="7">
        <v>3</v>
      </c>
      <c r="BI4" s="44">
        <v>0.62916666666666665</v>
      </c>
      <c r="BJ4" s="3">
        <v>0</v>
      </c>
      <c r="BK4" s="7">
        <v>0</v>
      </c>
      <c r="BL4" s="7">
        <v>7100</v>
      </c>
      <c r="BM4" s="7">
        <v>0</v>
      </c>
      <c r="BN4" s="7">
        <v>0</v>
      </c>
      <c r="BO4" s="59">
        <v>1</v>
      </c>
      <c r="BP4" s="7" t="s">
        <v>128</v>
      </c>
      <c r="BQ4" s="44" t="s">
        <v>120</v>
      </c>
      <c r="BR4" s="7">
        <v>3</v>
      </c>
      <c r="BS4" s="44">
        <v>0.62916666666666665</v>
      </c>
      <c r="BT4" s="45">
        <v>0</v>
      </c>
    </row>
    <row r="5" spans="1:72" x14ac:dyDescent="0.25">
      <c r="A5">
        <v>5</v>
      </c>
      <c r="B5" t="s">
        <v>119</v>
      </c>
      <c r="C5" s="16">
        <v>3000</v>
      </c>
      <c r="D5" s="7">
        <v>1500</v>
      </c>
      <c r="E5" s="7">
        <v>0</v>
      </c>
      <c r="F5" s="7">
        <v>0</v>
      </c>
      <c r="G5" s="59">
        <v>1</v>
      </c>
      <c r="H5" s="7" t="s">
        <v>213</v>
      </c>
      <c r="I5" s="44" t="s">
        <v>120</v>
      </c>
      <c r="J5" s="7">
        <v>1</v>
      </c>
      <c r="K5" s="44">
        <v>0.55625000000000002</v>
      </c>
      <c r="L5" s="3">
        <v>0</v>
      </c>
      <c r="M5" s="7">
        <v>0</v>
      </c>
      <c r="N5" s="7">
        <v>5600</v>
      </c>
      <c r="O5" s="59">
        <v>0</v>
      </c>
      <c r="P5" s="7">
        <v>0</v>
      </c>
      <c r="Q5" s="44">
        <v>1</v>
      </c>
      <c r="R5" s="44" t="s">
        <v>213</v>
      </c>
      <c r="S5" s="44" t="s">
        <v>120</v>
      </c>
      <c r="T5" s="7">
        <v>1</v>
      </c>
      <c r="U5" s="44">
        <v>0.55625000000000002</v>
      </c>
      <c r="V5" s="3">
        <v>0</v>
      </c>
      <c r="W5" s="59">
        <v>0</v>
      </c>
      <c r="X5" s="59">
        <v>6000</v>
      </c>
      <c r="Y5" s="59">
        <v>0</v>
      </c>
      <c r="Z5" s="7">
        <v>0</v>
      </c>
      <c r="AA5" s="7">
        <v>1</v>
      </c>
      <c r="AB5" s="7" t="s">
        <v>213</v>
      </c>
      <c r="AC5" s="44" t="s">
        <v>128</v>
      </c>
      <c r="AD5" s="7">
        <v>1</v>
      </c>
      <c r="AE5" s="44">
        <v>0.55625000000000002</v>
      </c>
      <c r="AF5" s="3">
        <v>0</v>
      </c>
      <c r="AG5" s="7">
        <v>0</v>
      </c>
      <c r="AH5" s="7">
        <v>10000</v>
      </c>
      <c r="AI5" s="59">
        <v>0</v>
      </c>
      <c r="AJ5" s="59">
        <v>0</v>
      </c>
      <c r="AK5" s="59">
        <v>1</v>
      </c>
      <c r="AL5" s="59" t="s">
        <v>213</v>
      </c>
      <c r="AM5" s="59" t="s">
        <v>128</v>
      </c>
      <c r="AN5" s="59">
        <v>1</v>
      </c>
      <c r="AO5" s="59">
        <v>0.55625000000000002</v>
      </c>
      <c r="AP5" s="3">
        <v>0</v>
      </c>
      <c r="AQ5" s="7">
        <v>0</v>
      </c>
      <c r="AR5" s="7">
        <v>8000</v>
      </c>
      <c r="AS5" s="59">
        <v>0</v>
      </c>
      <c r="AT5" s="7">
        <v>0</v>
      </c>
      <c r="AU5" s="59">
        <v>1</v>
      </c>
      <c r="AV5" s="7" t="s">
        <v>213</v>
      </c>
      <c r="AW5" s="44" t="s">
        <v>128</v>
      </c>
      <c r="AX5" s="7">
        <v>1</v>
      </c>
      <c r="AY5" s="44">
        <v>0.55625000000000002</v>
      </c>
      <c r="AZ5" s="3">
        <v>0</v>
      </c>
      <c r="BA5" s="7">
        <v>0</v>
      </c>
      <c r="BB5" s="7">
        <v>3500</v>
      </c>
      <c r="BC5" s="59">
        <v>0</v>
      </c>
      <c r="BD5" s="7">
        <v>0</v>
      </c>
      <c r="BE5" s="59">
        <v>1</v>
      </c>
      <c r="BF5" s="7" t="s">
        <v>213</v>
      </c>
      <c r="BG5" s="44" t="s">
        <v>128</v>
      </c>
      <c r="BH5" s="7">
        <v>1</v>
      </c>
      <c r="BI5" s="44">
        <v>0.55625000000000002</v>
      </c>
      <c r="BJ5" s="3">
        <v>0</v>
      </c>
      <c r="BK5" s="7">
        <v>0</v>
      </c>
      <c r="BL5" s="7">
        <v>6800</v>
      </c>
      <c r="BM5" s="7">
        <v>0</v>
      </c>
      <c r="BN5" s="7">
        <v>0</v>
      </c>
      <c r="BO5" s="59">
        <v>1</v>
      </c>
      <c r="BP5" s="7" t="s">
        <v>213</v>
      </c>
      <c r="BQ5" s="44" t="s">
        <v>128</v>
      </c>
      <c r="BR5" s="7">
        <v>1</v>
      </c>
      <c r="BS5" s="44">
        <v>0.55625000000000002</v>
      </c>
      <c r="BT5" s="45">
        <v>0</v>
      </c>
    </row>
    <row r="6" spans="1:72" x14ac:dyDescent="0.25">
      <c r="A6">
        <v>11</v>
      </c>
      <c r="B6" t="s">
        <v>120</v>
      </c>
      <c r="C6" s="16">
        <v>1200</v>
      </c>
      <c r="D6" s="7">
        <v>4700</v>
      </c>
      <c r="E6" s="7">
        <v>0</v>
      </c>
      <c r="F6" s="7">
        <v>0</v>
      </c>
      <c r="G6" s="59">
        <v>1</v>
      </c>
      <c r="H6" s="7" t="s">
        <v>119</v>
      </c>
      <c r="I6" s="44" t="s">
        <v>118</v>
      </c>
      <c r="J6" s="7">
        <v>2</v>
      </c>
      <c r="K6" s="44">
        <v>0.62222222222222223</v>
      </c>
      <c r="L6" s="3">
        <v>0</v>
      </c>
      <c r="M6" s="7">
        <v>0</v>
      </c>
      <c r="N6" s="7">
        <v>8700</v>
      </c>
      <c r="O6" s="59">
        <v>0</v>
      </c>
      <c r="P6" s="7">
        <v>0</v>
      </c>
      <c r="Q6" s="44">
        <v>1</v>
      </c>
      <c r="R6" s="44" t="s">
        <v>119</v>
      </c>
      <c r="S6" s="44" t="s">
        <v>118</v>
      </c>
      <c r="T6" s="7">
        <v>2</v>
      </c>
      <c r="U6" s="44">
        <v>0.62222222222222223</v>
      </c>
      <c r="V6" s="3">
        <v>0</v>
      </c>
      <c r="W6" s="59">
        <v>0</v>
      </c>
      <c r="X6" s="59">
        <v>6900</v>
      </c>
      <c r="Y6" s="59">
        <v>0</v>
      </c>
      <c r="Z6" s="7">
        <v>0</v>
      </c>
      <c r="AA6" s="7">
        <v>1</v>
      </c>
      <c r="AB6" s="7" t="s">
        <v>118</v>
      </c>
      <c r="AC6" s="44" t="s">
        <v>144</v>
      </c>
      <c r="AD6" s="7">
        <v>4</v>
      </c>
      <c r="AE6" s="44">
        <v>0.68194444444444446</v>
      </c>
      <c r="AF6" s="3">
        <v>0</v>
      </c>
      <c r="AG6" s="7">
        <v>0</v>
      </c>
      <c r="AH6" s="7">
        <v>9300</v>
      </c>
      <c r="AI6" s="59">
        <v>0</v>
      </c>
      <c r="AJ6" s="59">
        <v>0</v>
      </c>
      <c r="AK6" s="59">
        <v>1</v>
      </c>
      <c r="AL6" s="59" t="s">
        <v>118</v>
      </c>
      <c r="AM6" s="59" t="s">
        <v>144</v>
      </c>
      <c r="AN6" s="59">
        <v>4</v>
      </c>
      <c r="AO6" s="59">
        <v>0.68194444444444446</v>
      </c>
      <c r="AP6" s="3">
        <v>0</v>
      </c>
      <c r="AQ6" s="7">
        <v>0</v>
      </c>
      <c r="AR6" s="7">
        <v>9200</v>
      </c>
      <c r="AS6" s="59">
        <v>0</v>
      </c>
      <c r="AT6" s="7">
        <v>0</v>
      </c>
      <c r="AU6" s="59">
        <v>1</v>
      </c>
      <c r="AV6" s="7" t="s">
        <v>118</v>
      </c>
      <c r="AW6" s="44" t="s">
        <v>144</v>
      </c>
      <c r="AX6" s="7">
        <v>4</v>
      </c>
      <c r="AY6" s="44">
        <v>0.68194444444444446</v>
      </c>
      <c r="AZ6" s="3">
        <v>0</v>
      </c>
      <c r="BA6" s="7">
        <v>0</v>
      </c>
      <c r="BB6" s="7">
        <v>7500</v>
      </c>
      <c r="BC6" s="59">
        <v>0</v>
      </c>
      <c r="BD6" s="7">
        <v>0</v>
      </c>
      <c r="BE6" s="59">
        <v>1</v>
      </c>
      <c r="BF6" s="7" t="s">
        <v>118</v>
      </c>
      <c r="BG6" s="44" t="s">
        <v>144</v>
      </c>
      <c r="BH6" s="7">
        <v>4</v>
      </c>
      <c r="BI6" s="44">
        <v>0.68194444444444446</v>
      </c>
      <c r="BJ6" s="3">
        <v>0</v>
      </c>
      <c r="BK6" s="7">
        <v>0</v>
      </c>
      <c r="BL6" s="7">
        <v>9000</v>
      </c>
      <c r="BM6" s="7">
        <v>0</v>
      </c>
      <c r="BN6" s="7">
        <v>0</v>
      </c>
      <c r="BO6" s="59">
        <v>1</v>
      </c>
      <c r="BP6" s="7" t="s">
        <v>118</v>
      </c>
      <c r="BQ6" s="44" t="s">
        <v>144</v>
      </c>
      <c r="BR6" s="7">
        <v>4</v>
      </c>
      <c r="BS6" s="44">
        <v>0.68194444444444446</v>
      </c>
      <c r="BT6" s="45">
        <v>0</v>
      </c>
    </row>
    <row r="7" spans="1:72" x14ac:dyDescent="0.25">
      <c r="A7">
        <v>12</v>
      </c>
      <c r="B7" t="s">
        <v>121</v>
      </c>
      <c r="C7" s="16">
        <v>5000</v>
      </c>
      <c r="D7" s="7">
        <v>200</v>
      </c>
      <c r="E7" s="7">
        <v>0</v>
      </c>
      <c r="F7" s="7">
        <v>0</v>
      </c>
      <c r="G7" s="59">
        <v>1</v>
      </c>
      <c r="H7" s="7" t="s">
        <v>118</v>
      </c>
      <c r="I7" s="44" t="s">
        <v>166</v>
      </c>
      <c r="J7" s="7">
        <v>4</v>
      </c>
      <c r="K7" s="44">
        <v>0.73611111111111116</v>
      </c>
      <c r="L7" s="3">
        <v>0</v>
      </c>
      <c r="M7" s="7">
        <v>0</v>
      </c>
      <c r="N7" s="7">
        <v>5200</v>
      </c>
      <c r="O7" s="59">
        <v>0</v>
      </c>
      <c r="P7" s="7">
        <v>0</v>
      </c>
      <c r="Q7" s="44">
        <v>2</v>
      </c>
      <c r="R7" s="44" t="s">
        <v>124</v>
      </c>
      <c r="S7" s="44" t="s">
        <v>153</v>
      </c>
      <c r="T7" s="7">
        <v>3</v>
      </c>
      <c r="U7" s="44">
        <v>0.73958333333333337</v>
      </c>
      <c r="V7" s="3">
        <v>0</v>
      </c>
      <c r="W7" s="59">
        <v>0</v>
      </c>
      <c r="X7" s="59">
        <v>5400</v>
      </c>
      <c r="Y7" s="59">
        <v>0</v>
      </c>
      <c r="Z7" s="7">
        <v>0</v>
      </c>
      <c r="AA7" s="7">
        <v>2</v>
      </c>
      <c r="AB7" s="7" t="s">
        <v>123</v>
      </c>
      <c r="AC7" s="44" t="s">
        <v>153</v>
      </c>
      <c r="AD7" s="7">
        <v>4</v>
      </c>
      <c r="AE7" s="44">
        <v>0.74583333333333324</v>
      </c>
      <c r="AF7" s="3">
        <v>0</v>
      </c>
      <c r="AG7" s="7">
        <v>0</v>
      </c>
      <c r="AH7" s="7">
        <v>4600</v>
      </c>
      <c r="AI7" s="59">
        <v>0</v>
      </c>
      <c r="AJ7" s="59">
        <v>0</v>
      </c>
      <c r="AK7" s="59">
        <v>2</v>
      </c>
      <c r="AL7" s="59" t="s">
        <v>123</v>
      </c>
      <c r="AM7" s="59" t="s">
        <v>127</v>
      </c>
      <c r="AN7" s="59">
        <v>4</v>
      </c>
      <c r="AO7" s="59">
        <v>0.74583333333333324</v>
      </c>
      <c r="AP7" s="3">
        <v>0</v>
      </c>
      <c r="AQ7" s="7">
        <v>0</v>
      </c>
      <c r="AR7" s="7">
        <v>7800</v>
      </c>
      <c r="AS7" s="59">
        <v>0</v>
      </c>
      <c r="AT7" s="7">
        <v>0</v>
      </c>
      <c r="AU7" s="59">
        <v>2</v>
      </c>
      <c r="AV7" s="7" t="s">
        <v>123</v>
      </c>
      <c r="AW7" s="44" t="s">
        <v>127</v>
      </c>
      <c r="AX7" s="7">
        <v>4</v>
      </c>
      <c r="AY7" s="44">
        <v>0.74583333333333324</v>
      </c>
      <c r="AZ7" s="3">
        <v>0</v>
      </c>
      <c r="BA7" s="7">
        <v>0</v>
      </c>
      <c r="BB7" s="7">
        <v>9200</v>
      </c>
      <c r="BC7" s="59">
        <v>0</v>
      </c>
      <c r="BD7" s="7">
        <v>0</v>
      </c>
      <c r="BE7" s="59">
        <v>2</v>
      </c>
      <c r="BF7" s="7" t="s">
        <v>123</v>
      </c>
      <c r="BG7" s="44" t="s">
        <v>127</v>
      </c>
      <c r="BH7" s="7">
        <v>4</v>
      </c>
      <c r="BI7" s="44">
        <v>0.74583333333333324</v>
      </c>
      <c r="BJ7" s="3">
        <v>0</v>
      </c>
      <c r="BK7" s="7">
        <v>0</v>
      </c>
      <c r="BL7" s="7">
        <v>8000</v>
      </c>
      <c r="BM7" s="7">
        <v>0</v>
      </c>
      <c r="BN7" s="7">
        <v>0</v>
      </c>
      <c r="BO7" s="59">
        <v>2</v>
      </c>
      <c r="BP7" s="7" t="s">
        <v>123</v>
      </c>
      <c r="BQ7" s="44" t="s">
        <v>127</v>
      </c>
      <c r="BR7" s="7">
        <v>4</v>
      </c>
      <c r="BS7" s="44">
        <v>0.74583333333333324</v>
      </c>
      <c r="BT7" s="45">
        <v>0</v>
      </c>
    </row>
    <row r="8" spans="1:72" x14ac:dyDescent="0.25">
      <c r="A8">
        <v>29</v>
      </c>
      <c r="B8" t="s">
        <v>122</v>
      </c>
      <c r="C8" s="16">
        <v>8000</v>
      </c>
      <c r="D8" s="7">
        <v>0</v>
      </c>
      <c r="E8" s="7">
        <v>50000</v>
      </c>
      <c r="F8" s="7">
        <v>4100</v>
      </c>
      <c r="G8" s="59">
        <v>2</v>
      </c>
      <c r="H8" s="7" t="s">
        <v>213</v>
      </c>
      <c r="I8" s="44" t="s">
        <v>159</v>
      </c>
      <c r="J8" s="7">
        <v>1</v>
      </c>
      <c r="K8" s="44">
        <v>0.57013888888888886</v>
      </c>
      <c r="L8" s="3">
        <v>0</v>
      </c>
      <c r="M8" s="7">
        <v>4100</v>
      </c>
      <c r="N8" s="7">
        <v>1500</v>
      </c>
      <c r="O8" s="59">
        <v>0</v>
      </c>
      <c r="P8" s="7">
        <v>0</v>
      </c>
      <c r="Q8" s="44">
        <v>3</v>
      </c>
      <c r="R8" s="44" t="s">
        <v>213</v>
      </c>
      <c r="S8" s="44" t="s">
        <v>130</v>
      </c>
      <c r="T8" s="7">
        <v>1</v>
      </c>
      <c r="U8" s="44">
        <v>0.57013888888888886</v>
      </c>
      <c r="V8" s="3">
        <v>0</v>
      </c>
      <c r="W8" s="59">
        <v>0</v>
      </c>
      <c r="X8" s="59">
        <v>3700</v>
      </c>
      <c r="Y8" s="59">
        <v>0</v>
      </c>
      <c r="Z8" s="7">
        <v>0</v>
      </c>
      <c r="AA8" s="7">
        <v>3</v>
      </c>
      <c r="AB8" s="7" t="s">
        <v>213</v>
      </c>
      <c r="AC8" s="44" t="s">
        <v>130</v>
      </c>
      <c r="AD8" s="7">
        <v>1</v>
      </c>
      <c r="AE8" s="44">
        <v>0.57013888888888886</v>
      </c>
      <c r="AF8" s="3">
        <v>0</v>
      </c>
      <c r="AG8" s="7">
        <v>0</v>
      </c>
      <c r="AH8" s="7">
        <v>8900</v>
      </c>
      <c r="AI8" s="59">
        <v>0</v>
      </c>
      <c r="AJ8" s="59">
        <v>0</v>
      </c>
      <c r="AK8" s="59">
        <v>3</v>
      </c>
      <c r="AL8" s="59" t="s">
        <v>213</v>
      </c>
      <c r="AM8" s="59" t="s">
        <v>130</v>
      </c>
      <c r="AN8" s="59">
        <v>1</v>
      </c>
      <c r="AO8" s="59">
        <v>0.57013888888888886</v>
      </c>
      <c r="AP8" s="3">
        <v>0</v>
      </c>
      <c r="AQ8" s="7">
        <v>0</v>
      </c>
      <c r="AR8" s="7">
        <v>8000</v>
      </c>
      <c r="AS8" s="59">
        <v>0</v>
      </c>
      <c r="AT8" s="7">
        <v>0</v>
      </c>
      <c r="AU8" s="59">
        <v>3</v>
      </c>
      <c r="AV8" s="7" t="s">
        <v>213</v>
      </c>
      <c r="AW8" s="44" t="s">
        <v>130</v>
      </c>
      <c r="AX8" s="7">
        <v>1</v>
      </c>
      <c r="AY8" s="44">
        <v>0.57013888888888886</v>
      </c>
      <c r="AZ8" s="3">
        <v>0</v>
      </c>
      <c r="BA8" s="7">
        <v>0</v>
      </c>
      <c r="BB8" s="7">
        <v>8600</v>
      </c>
      <c r="BC8" s="59">
        <v>0</v>
      </c>
      <c r="BD8" s="7">
        <v>0</v>
      </c>
      <c r="BE8" s="59">
        <v>3</v>
      </c>
      <c r="BF8" s="7" t="s">
        <v>213</v>
      </c>
      <c r="BG8" s="44" t="s">
        <v>130</v>
      </c>
      <c r="BH8" s="7">
        <v>1</v>
      </c>
      <c r="BI8" s="44">
        <v>0.57013888888888886</v>
      </c>
      <c r="BJ8" s="3">
        <v>0</v>
      </c>
      <c r="BK8" s="7">
        <v>0</v>
      </c>
      <c r="BL8" s="7">
        <v>9400</v>
      </c>
      <c r="BM8" s="7">
        <v>0</v>
      </c>
      <c r="BN8" s="7">
        <v>0</v>
      </c>
      <c r="BO8" s="59">
        <v>3</v>
      </c>
      <c r="BP8" s="7" t="s">
        <v>213</v>
      </c>
      <c r="BQ8" s="44" t="s">
        <v>130</v>
      </c>
      <c r="BR8" s="7">
        <v>1</v>
      </c>
      <c r="BS8" s="44">
        <v>0.57013888888888886</v>
      </c>
      <c r="BT8" s="45">
        <v>0</v>
      </c>
    </row>
    <row r="9" spans="1:72" x14ac:dyDescent="0.25">
      <c r="A9">
        <v>70</v>
      </c>
      <c r="B9" t="s">
        <v>123</v>
      </c>
      <c r="C9" s="16">
        <v>6500</v>
      </c>
      <c r="D9" s="7">
        <v>0</v>
      </c>
      <c r="E9" s="7">
        <v>0</v>
      </c>
      <c r="F9" s="7">
        <v>3900</v>
      </c>
      <c r="G9" s="59">
        <v>0</v>
      </c>
      <c r="H9" s="7"/>
      <c r="I9" s="44"/>
      <c r="J9" s="7">
        <v>0</v>
      </c>
      <c r="K9" s="44">
        <v>0.45833333333333331</v>
      </c>
      <c r="L9" s="3">
        <v>0</v>
      </c>
      <c r="M9" s="7">
        <v>3900</v>
      </c>
      <c r="N9" s="7">
        <v>3800</v>
      </c>
      <c r="O9" s="59">
        <v>0</v>
      </c>
      <c r="P9" s="7">
        <v>0</v>
      </c>
      <c r="Q9" s="44">
        <v>2</v>
      </c>
      <c r="R9" s="44" t="s">
        <v>213</v>
      </c>
      <c r="S9" s="44" t="s">
        <v>124</v>
      </c>
      <c r="T9" s="7">
        <v>1</v>
      </c>
      <c r="U9" s="44">
        <v>0.53333333333333333</v>
      </c>
      <c r="V9" s="3">
        <v>0</v>
      </c>
      <c r="W9" s="59">
        <v>0</v>
      </c>
      <c r="X9" s="59">
        <v>6100</v>
      </c>
      <c r="Y9" s="59">
        <v>0</v>
      </c>
      <c r="Z9" s="7">
        <v>0</v>
      </c>
      <c r="AA9" s="7">
        <v>2</v>
      </c>
      <c r="AB9" s="7" t="s">
        <v>126</v>
      </c>
      <c r="AC9" s="44" t="s">
        <v>121</v>
      </c>
      <c r="AD9" s="7">
        <v>3</v>
      </c>
      <c r="AE9" s="44">
        <v>0.6958333333333333</v>
      </c>
      <c r="AF9" s="3">
        <v>0</v>
      </c>
      <c r="AG9" s="7">
        <v>0</v>
      </c>
      <c r="AH9" s="7">
        <v>7900</v>
      </c>
      <c r="AI9" s="59">
        <v>0</v>
      </c>
      <c r="AJ9" s="59">
        <v>0</v>
      </c>
      <c r="AK9" s="59">
        <v>2</v>
      </c>
      <c r="AL9" s="59" t="s">
        <v>126</v>
      </c>
      <c r="AM9" s="59" t="s">
        <v>121</v>
      </c>
      <c r="AN9" s="59">
        <v>3</v>
      </c>
      <c r="AO9" s="59">
        <v>0.6958333333333333</v>
      </c>
      <c r="AP9" s="3">
        <v>0</v>
      </c>
      <c r="AQ9" s="7">
        <v>0</v>
      </c>
      <c r="AR9" s="7">
        <v>9800</v>
      </c>
      <c r="AS9" s="59">
        <v>0</v>
      </c>
      <c r="AT9" s="7">
        <v>0</v>
      </c>
      <c r="AU9" s="59">
        <v>2</v>
      </c>
      <c r="AV9" s="7" t="s">
        <v>126</v>
      </c>
      <c r="AW9" s="44" t="s">
        <v>121</v>
      </c>
      <c r="AX9" s="7">
        <v>3</v>
      </c>
      <c r="AY9" s="44">
        <v>0.6958333333333333</v>
      </c>
      <c r="AZ9" s="3">
        <v>0</v>
      </c>
      <c r="BA9" s="7">
        <v>0</v>
      </c>
      <c r="BB9" s="7">
        <v>7000</v>
      </c>
      <c r="BC9" s="59">
        <v>0</v>
      </c>
      <c r="BD9" s="7">
        <v>0</v>
      </c>
      <c r="BE9" s="59">
        <v>2</v>
      </c>
      <c r="BF9" s="7" t="s">
        <v>126</v>
      </c>
      <c r="BG9" s="44" t="s">
        <v>121</v>
      </c>
      <c r="BH9" s="7">
        <v>3</v>
      </c>
      <c r="BI9" s="44">
        <v>0.6958333333333333</v>
      </c>
      <c r="BJ9" s="3">
        <v>0</v>
      </c>
      <c r="BK9" s="7">
        <v>0</v>
      </c>
      <c r="BL9" s="7">
        <v>3200</v>
      </c>
      <c r="BM9" s="7">
        <v>0</v>
      </c>
      <c r="BN9" s="7">
        <v>0</v>
      </c>
      <c r="BO9" s="59">
        <v>2</v>
      </c>
      <c r="BP9" s="7" t="s">
        <v>126</v>
      </c>
      <c r="BQ9" s="44" t="s">
        <v>121</v>
      </c>
      <c r="BR9" s="7">
        <v>3</v>
      </c>
      <c r="BS9" s="44">
        <v>0.6958333333333333</v>
      </c>
      <c r="BT9" s="45">
        <v>0</v>
      </c>
    </row>
    <row r="10" spans="1:72" x14ac:dyDescent="0.25">
      <c r="A10">
        <v>71</v>
      </c>
      <c r="B10" t="s">
        <v>124</v>
      </c>
      <c r="C10" s="16">
        <v>6500</v>
      </c>
      <c r="D10" s="7">
        <v>0</v>
      </c>
      <c r="E10" s="7">
        <v>0</v>
      </c>
      <c r="F10" s="7">
        <v>1700</v>
      </c>
      <c r="G10" s="59">
        <v>0</v>
      </c>
      <c r="H10" s="7"/>
      <c r="I10" s="44"/>
      <c r="J10" s="7">
        <v>0</v>
      </c>
      <c r="K10" s="44">
        <v>0.45833333333333331</v>
      </c>
      <c r="L10" s="3">
        <v>0</v>
      </c>
      <c r="M10" s="7">
        <v>1700</v>
      </c>
      <c r="N10" s="7">
        <v>3400</v>
      </c>
      <c r="O10" s="59">
        <v>0</v>
      </c>
      <c r="P10" s="7">
        <v>0</v>
      </c>
      <c r="Q10" s="44">
        <v>2</v>
      </c>
      <c r="R10" s="44" t="s">
        <v>123</v>
      </c>
      <c r="S10" s="44" t="s">
        <v>121</v>
      </c>
      <c r="T10" s="7">
        <v>2</v>
      </c>
      <c r="U10" s="44">
        <v>0.62013888888888891</v>
      </c>
      <c r="V10" s="3">
        <v>0</v>
      </c>
      <c r="W10" s="59">
        <v>0</v>
      </c>
      <c r="X10" s="59">
        <v>8100</v>
      </c>
      <c r="Y10" s="59">
        <v>0</v>
      </c>
      <c r="Z10" s="7">
        <v>0</v>
      </c>
      <c r="AA10" s="7">
        <v>2</v>
      </c>
      <c r="AB10" s="7" t="s">
        <v>213</v>
      </c>
      <c r="AC10" s="44" t="s">
        <v>126</v>
      </c>
      <c r="AD10" s="7">
        <v>1</v>
      </c>
      <c r="AE10" s="44">
        <v>0.57430555555555551</v>
      </c>
      <c r="AF10" s="3">
        <v>0</v>
      </c>
      <c r="AG10" s="7">
        <v>0</v>
      </c>
      <c r="AH10" s="7">
        <v>2800</v>
      </c>
      <c r="AI10" s="59">
        <v>0</v>
      </c>
      <c r="AJ10" s="59">
        <v>0</v>
      </c>
      <c r="AK10" s="59">
        <v>2</v>
      </c>
      <c r="AL10" s="59" t="s">
        <v>213</v>
      </c>
      <c r="AM10" s="59" t="s">
        <v>126</v>
      </c>
      <c r="AN10" s="59">
        <v>1</v>
      </c>
      <c r="AO10" s="59">
        <v>0.57430555555555551</v>
      </c>
      <c r="AP10" s="3">
        <v>0</v>
      </c>
      <c r="AQ10" s="7">
        <v>0</v>
      </c>
      <c r="AR10" s="7">
        <v>5400</v>
      </c>
      <c r="AS10" s="59">
        <v>0</v>
      </c>
      <c r="AT10" s="7">
        <v>0</v>
      </c>
      <c r="AU10" s="59">
        <v>2</v>
      </c>
      <c r="AV10" s="7" t="s">
        <v>213</v>
      </c>
      <c r="AW10" s="44" t="s">
        <v>126</v>
      </c>
      <c r="AX10" s="7">
        <v>1</v>
      </c>
      <c r="AY10" s="44">
        <v>0.57430555555555551</v>
      </c>
      <c r="AZ10" s="3">
        <v>0</v>
      </c>
      <c r="BA10" s="7">
        <v>0</v>
      </c>
      <c r="BB10" s="7">
        <v>5800</v>
      </c>
      <c r="BC10" s="59">
        <v>0</v>
      </c>
      <c r="BD10" s="7">
        <v>0</v>
      </c>
      <c r="BE10" s="59">
        <v>2</v>
      </c>
      <c r="BF10" s="7" t="s">
        <v>213</v>
      </c>
      <c r="BG10" s="44" t="s">
        <v>126</v>
      </c>
      <c r="BH10" s="7">
        <v>1</v>
      </c>
      <c r="BI10" s="44">
        <v>0.57430555555555551</v>
      </c>
      <c r="BJ10" s="3">
        <v>0</v>
      </c>
      <c r="BK10" s="7">
        <v>0</v>
      </c>
      <c r="BL10" s="7">
        <v>6700</v>
      </c>
      <c r="BM10" s="7">
        <v>0</v>
      </c>
      <c r="BN10" s="7">
        <v>0</v>
      </c>
      <c r="BO10" s="59">
        <v>2</v>
      </c>
      <c r="BP10" s="7" t="s">
        <v>213</v>
      </c>
      <c r="BQ10" s="44" t="s">
        <v>126</v>
      </c>
      <c r="BR10" s="7">
        <v>1</v>
      </c>
      <c r="BS10" s="44">
        <v>0.57430555555555551</v>
      </c>
      <c r="BT10" s="45">
        <v>0</v>
      </c>
    </row>
    <row r="11" spans="1:72" x14ac:dyDescent="0.25">
      <c r="A11">
        <v>384</v>
      </c>
      <c r="B11" t="s">
        <v>125</v>
      </c>
      <c r="C11" s="16">
        <v>96500</v>
      </c>
      <c r="D11" s="7">
        <v>0</v>
      </c>
      <c r="E11" s="7">
        <v>0</v>
      </c>
      <c r="F11" s="7">
        <v>88200</v>
      </c>
      <c r="G11" s="59">
        <v>0</v>
      </c>
      <c r="H11" s="7"/>
      <c r="I11" s="44"/>
      <c r="J11" s="7">
        <v>0</v>
      </c>
      <c r="K11" s="44">
        <v>0.45833333333333331</v>
      </c>
      <c r="L11" s="3">
        <v>0</v>
      </c>
      <c r="M11" s="7">
        <v>88200</v>
      </c>
      <c r="N11" s="7">
        <v>0</v>
      </c>
      <c r="O11" s="59">
        <v>0</v>
      </c>
      <c r="P11" s="7">
        <v>83400</v>
      </c>
      <c r="Q11" s="44">
        <v>0</v>
      </c>
      <c r="R11" s="44"/>
      <c r="S11" s="44"/>
      <c r="T11" s="7">
        <v>0</v>
      </c>
      <c r="U11" s="44">
        <v>0.45833333333333331</v>
      </c>
      <c r="V11" s="3">
        <v>0</v>
      </c>
      <c r="W11" s="59">
        <v>83400</v>
      </c>
      <c r="X11" s="59">
        <v>0</v>
      </c>
      <c r="Y11" s="59">
        <v>0</v>
      </c>
      <c r="Z11" s="7">
        <v>77100</v>
      </c>
      <c r="AA11" s="7">
        <v>0</v>
      </c>
      <c r="AB11" s="7"/>
      <c r="AC11" s="44"/>
      <c r="AD11" s="7">
        <v>0</v>
      </c>
      <c r="AE11" s="44">
        <v>0.45833333333333331</v>
      </c>
      <c r="AF11" s="3">
        <v>0</v>
      </c>
      <c r="AG11" s="7">
        <v>77100</v>
      </c>
      <c r="AH11" s="7">
        <v>0</v>
      </c>
      <c r="AI11" s="59">
        <v>0</v>
      </c>
      <c r="AJ11" s="59">
        <v>71000</v>
      </c>
      <c r="AK11" s="59">
        <v>0</v>
      </c>
      <c r="AL11" s="59"/>
      <c r="AM11" s="59"/>
      <c r="AN11" s="59">
        <v>0</v>
      </c>
      <c r="AO11" s="59">
        <v>0.45833333333333331</v>
      </c>
      <c r="AP11" s="3">
        <v>0</v>
      </c>
      <c r="AQ11" s="7">
        <v>71000</v>
      </c>
      <c r="AR11" s="7">
        <v>0</v>
      </c>
      <c r="AS11" s="59">
        <v>0</v>
      </c>
      <c r="AT11" s="7">
        <v>64200</v>
      </c>
      <c r="AU11" s="59">
        <v>0</v>
      </c>
      <c r="AV11" s="7"/>
      <c r="AW11" s="44"/>
      <c r="AX11" s="7">
        <v>0</v>
      </c>
      <c r="AY11" s="44">
        <v>0.45833333333333331</v>
      </c>
      <c r="AZ11" s="3">
        <v>0</v>
      </c>
      <c r="BA11" s="7">
        <v>64200</v>
      </c>
      <c r="BB11" s="7">
        <v>0</v>
      </c>
      <c r="BC11" s="59">
        <v>0</v>
      </c>
      <c r="BD11" s="7">
        <v>60600</v>
      </c>
      <c r="BE11" s="59">
        <v>0</v>
      </c>
      <c r="BF11" s="7"/>
      <c r="BG11" s="44"/>
      <c r="BH11" s="7">
        <v>0</v>
      </c>
      <c r="BI11" s="44">
        <v>0.45833333333333331</v>
      </c>
      <c r="BJ11" s="3">
        <v>0</v>
      </c>
      <c r="BK11" s="7">
        <v>60600</v>
      </c>
      <c r="BL11" s="7">
        <v>0</v>
      </c>
      <c r="BM11" s="7">
        <v>0</v>
      </c>
      <c r="BN11" s="7">
        <v>43000</v>
      </c>
      <c r="BO11" s="59">
        <v>0</v>
      </c>
      <c r="BP11" s="7"/>
      <c r="BQ11" s="44"/>
      <c r="BR11" s="7">
        <v>0</v>
      </c>
      <c r="BS11" s="44">
        <v>0.45833333333333331</v>
      </c>
      <c r="BT11" s="45">
        <v>0</v>
      </c>
    </row>
    <row r="12" spans="1:72" x14ac:dyDescent="0.25">
      <c r="A12">
        <v>429</v>
      </c>
      <c r="B12" t="s">
        <v>126</v>
      </c>
      <c r="C12" s="16">
        <v>16500</v>
      </c>
      <c r="D12" s="7">
        <v>0</v>
      </c>
      <c r="E12" s="7">
        <v>0</v>
      </c>
      <c r="F12" s="7">
        <v>10600</v>
      </c>
      <c r="G12" s="59">
        <v>0</v>
      </c>
      <c r="H12" s="7"/>
      <c r="I12" s="44"/>
      <c r="J12" s="7">
        <v>0</v>
      </c>
      <c r="K12" s="44">
        <v>0.45833333333333331</v>
      </c>
      <c r="L12" s="3">
        <v>0</v>
      </c>
      <c r="M12" s="7">
        <v>10600</v>
      </c>
      <c r="N12" s="7">
        <v>0</v>
      </c>
      <c r="O12" s="59">
        <v>0</v>
      </c>
      <c r="P12" s="7">
        <v>5300</v>
      </c>
      <c r="Q12" s="44">
        <v>0</v>
      </c>
      <c r="R12" s="44"/>
      <c r="S12" s="44"/>
      <c r="T12" s="7">
        <v>0</v>
      </c>
      <c r="U12" s="44">
        <v>0.45833333333333331</v>
      </c>
      <c r="V12" s="3">
        <v>0</v>
      </c>
      <c r="W12" s="59">
        <v>5300</v>
      </c>
      <c r="X12" s="59">
        <v>4100</v>
      </c>
      <c r="Y12" s="59">
        <v>0</v>
      </c>
      <c r="Z12" s="7">
        <v>0</v>
      </c>
      <c r="AA12" s="7">
        <v>2</v>
      </c>
      <c r="AB12" s="7" t="s">
        <v>124</v>
      </c>
      <c r="AC12" s="44" t="s">
        <v>123</v>
      </c>
      <c r="AD12" s="7">
        <v>2</v>
      </c>
      <c r="AE12" s="44">
        <v>0.63680555555555551</v>
      </c>
      <c r="AF12" s="3">
        <v>0</v>
      </c>
      <c r="AG12" s="7">
        <v>0</v>
      </c>
      <c r="AH12" s="7">
        <v>2600</v>
      </c>
      <c r="AI12" s="59">
        <v>0</v>
      </c>
      <c r="AJ12" s="59">
        <v>0</v>
      </c>
      <c r="AK12" s="59">
        <v>2</v>
      </c>
      <c r="AL12" s="59" t="s">
        <v>124</v>
      </c>
      <c r="AM12" s="59" t="s">
        <v>123</v>
      </c>
      <c r="AN12" s="59">
        <v>2</v>
      </c>
      <c r="AO12" s="59">
        <v>0.63680555555555551</v>
      </c>
      <c r="AP12" s="3">
        <v>0</v>
      </c>
      <c r="AQ12" s="7">
        <v>0</v>
      </c>
      <c r="AR12" s="7">
        <v>6000</v>
      </c>
      <c r="AS12" s="59">
        <v>0</v>
      </c>
      <c r="AT12" s="7">
        <v>0</v>
      </c>
      <c r="AU12" s="59">
        <v>2</v>
      </c>
      <c r="AV12" s="7" t="s">
        <v>124</v>
      </c>
      <c r="AW12" s="44" t="s">
        <v>123</v>
      </c>
      <c r="AX12" s="7">
        <v>2</v>
      </c>
      <c r="AY12" s="44">
        <v>0.63680555555555551</v>
      </c>
      <c r="AZ12" s="3">
        <v>0</v>
      </c>
      <c r="BA12" s="7">
        <v>0</v>
      </c>
      <c r="BB12" s="7">
        <v>5000</v>
      </c>
      <c r="BC12" s="59">
        <v>0</v>
      </c>
      <c r="BD12" s="7">
        <v>0</v>
      </c>
      <c r="BE12" s="59">
        <v>2</v>
      </c>
      <c r="BF12" s="7" t="s">
        <v>124</v>
      </c>
      <c r="BG12" s="44" t="s">
        <v>123</v>
      </c>
      <c r="BH12" s="7">
        <v>2</v>
      </c>
      <c r="BI12" s="44">
        <v>0.63680555555555551</v>
      </c>
      <c r="BJ12" s="3">
        <v>0</v>
      </c>
      <c r="BK12" s="7">
        <v>0</v>
      </c>
      <c r="BL12" s="7">
        <v>2200</v>
      </c>
      <c r="BM12" s="7">
        <v>0</v>
      </c>
      <c r="BN12" s="7">
        <v>0</v>
      </c>
      <c r="BO12" s="59">
        <v>2</v>
      </c>
      <c r="BP12" s="7" t="s">
        <v>124</v>
      </c>
      <c r="BQ12" s="44" t="s">
        <v>123</v>
      </c>
      <c r="BR12" s="7">
        <v>2</v>
      </c>
      <c r="BS12" s="44">
        <v>0.63680555555555551</v>
      </c>
      <c r="BT12" s="45">
        <v>0</v>
      </c>
    </row>
    <row r="13" spans="1:72" x14ac:dyDescent="0.25">
      <c r="A13">
        <v>486</v>
      </c>
      <c r="B13" t="s">
        <v>127</v>
      </c>
      <c r="C13" s="16">
        <v>16500</v>
      </c>
      <c r="D13" s="7">
        <v>0</v>
      </c>
      <c r="E13" s="7">
        <v>0</v>
      </c>
      <c r="F13" s="7">
        <v>13100</v>
      </c>
      <c r="G13" s="59">
        <v>0</v>
      </c>
      <c r="H13" s="7"/>
      <c r="I13" s="44"/>
      <c r="J13" s="7">
        <v>0</v>
      </c>
      <c r="K13" s="44">
        <v>0.45833333333333331</v>
      </c>
      <c r="L13" s="3">
        <v>0</v>
      </c>
      <c r="M13" s="7">
        <v>13100</v>
      </c>
      <c r="N13" s="7">
        <v>0</v>
      </c>
      <c r="O13" s="59">
        <v>0</v>
      </c>
      <c r="P13" s="7">
        <v>9100</v>
      </c>
      <c r="Q13" s="44">
        <v>0</v>
      </c>
      <c r="R13" s="44"/>
      <c r="S13" s="44"/>
      <c r="T13" s="7">
        <v>0</v>
      </c>
      <c r="U13" s="44">
        <v>0.45833333333333331</v>
      </c>
      <c r="V13" s="3">
        <v>0</v>
      </c>
      <c r="W13" s="59">
        <v>9100</v>
      </c>
      <c r="X13" s="59">
        <v>0</v>
      </c>
      <c r="Y13" s="59">
        <v>0</v>
      </c>
      <c r="Z13" s="7">
        <v>5800</v>
      </c>
      <c r="AA13" s="7">
        <v>0</v>
      </c>
      <c r="AB13" s="7"/>
      <c r="AC13" s="44"/>
      <c r="AD13" s="7">
        <v>0</v>
      </c>
      <c r="AE13" s="44">
        <v>0.45833333333333331</v>
      </c>
      <c r="AF13" s="3">
        <v>0</v>
      </c>
      <c r="AG13" s="7">
        <v>5800</v>
      </c>
      <c r="AH13" s="7">
        <v>1800</v>
      </c>
      <c r="AI13" s="59">
        <v>0</v>
      </c>
      <c r="AJ13" s="59">
        <v>0</v>
      </c>
      <c r="AK13" s="59">
        <v>2</v>
      </c>
      <c r="AL13" s="59" t="s">
        <v>121</v>
      </c>
      <c r="AM13" s="59" t="s">
        <v>153</v>
      </c>
      <c r="AN13" s="59">
        <v>5</v>
      </c>
      <c r="AO13" s="59">
        <v>0.77361111111111114</v>
      </c>
      <c r="AP13" s="3">
        <v>0</v>
      </c>
      <c r="AQ13" s="7">
        <v>0</v>
      </c>
      <c r="AR13" s="7">
        <v>5400</v>
      </c>
      <c r="AS13" s="59">
        <v>0</v>
      </c>
      <c r="AT13" s="7">
        <v>0</v>
      </c>
      <c r="AU13" s="59">
        <v>2</v>
      </c>
      <c r="AV13" s="7" t="s">
        <v>121</v>
      </c>
      <c r="AW13" s="44" t="s">
        <v>153</v>
      </c>
      <c r="AX13" s="7">
        <v>5</v>
      </c>
      <c r="AY13" s="44">
        <v>0.77361111111111114</v>
      </c>
      <c r="AZ13" s="3">
        <v>0</v>
      </c>
      <c r="BA13" s="7">
        <v>0</v>
      </c>
      <c r="BB13" s="7">
        <v>4400</v>
      </c>
      <c r="BC13" s="59">
        <v>0</v>
      </c>
      <c r="BD13" s="7">
        <v>0</v>
      </c>
      <c r="BE13" s="59">
        <v>2</v>
      </c>
      <c r="BF13" s="7" t="s">
        <v>121</v>
      </c>
      <c r="BG13" s="44" t="s">
        <v>153</v>
      </c>
      <c r="BH13" s="7">
        <v>5</v>
      </c>
      <c r="BI13" s="44">
        <v>0.77361111111111114</v>
      </c>
      <c r="BJ13" s="3">
        <v>0</v>
      </c>
      <c r="BK13" s="7">
        <v>0</v>
      </c>
      <c r="BL13" s="7">
        <v>9800</v>
      </c>
      <c r="BM13" s="7">
        <v>0</v>
      </c>
      <c r="BN13" s="7">
        <v>0</v>
      </c>
      <c r="BO13" s="59">
        <v>2</v>
      </c>
      <c r="BP13" s="7" t="s">
        <v>121</v>
      </c>
      <c r="BQ13" s="44" t="s">
        <v>153</v>
      </c>
      <c r="BR13" s="7">
        <v>5</v>
      </c>
      <c r="BS13" s="44">
        <v>0.77361111111111114</v>
      </c>
      <c r="BT13" s="45">
        <v>0</v>
      </c>
    </row>
    <row r="14" spans="1:72" x14ac:dyDescent="0.25">
      <c r="A14">
        <v>546</v>
      </c>
      <c r="B14" t="s">
        <v>128</v>
      </c>
      <c r="C14" s="16">
        <v>16500</v>
      </c>
      <c r="D14" s="7">
        <v>0</v>
      </c>
      <c r="E14" s="7">
        <v>0</v>
      </c>
      <c r="F14" s="7">
        <v>12800</v>
      </c>
      <c r="G14" s="59">
        <v>0</v>
      </c>
      <c r="H14" s="7"/>
      <c r="I14" s="44"/>
      <c r="J14" s="7">
        <v>0</v>
      </c>
      <c r="K14" s="44">
        <v>0.45833333333333331</v>
      </c>
      <c r="L14" s="3">
        <v>0</v>
      </c>
      <c r="M14" s="7">
        <v>12800</v>
      </c>
      <c r="N14" s="7">
        <v>0</v>
      </c>
      <c r="O14" s="59">
        <v>0</v>
      </c>
      <c r="P14" s="7">
        <v>4900</v>
      </c>
      <c r="Q14" s="44">
        <v>0</v>
      </c>
      <c r="R14" s="44"/>
      <c r="S14" s="44"/>
      <c r="T14" s="7">
        <v>0</v>
      </c>
      <c r="U14" s="44">
        <v>0.45833333333333331</v>
      </c>
      <c r="V14" s="3">
        <v>0</v>
      </c>
      <c r="W14" s="59">
        <v>4900</v>
      </c>
      <c r="X14" s="59">
        <v>1300</v>
      </c>
      <c r="Y14" s="59">
        <v>0</v>
      </c>
      <c r="Z14" s="7">
        <v>0</v>
      </c>
      <c r="AA14" s="7">
        <v>1</v>
      </c>
      <c r="AB14" s="7" t="s">
        <v>119</v>
      </c>
      <c r="AC14" s="44" t="s">
        <v>118</v>
      </c>
      <c r="AD14" s="7">
        <v>2</v>
      </c>
      <c r="AE14" s="44">
        <v>0.6</v>
      </c>
      <c r="AF14" s="3">
        <v>0</v>
      </c>
      <c r="AG14" s="7">
        <v>0</v>
      </c>
      <c r="AH14" s="7">
        <v>9400</v>
      </c>
      <c r="AI14" s="59">
        <v>0</v>
      </c>
      <c r="AJ14" s="59">
        <v>0</v>
      </c>
      <c r="AK14" s="59">
        <v>1</v>
      </c>
      <c r="AL14" s="59" t="s">
        <v>119</v>
      </c>
      <c r="AM14" s="59" t="s">
        <v>118</v>
      </c>
      <c r="AN14" s="59">
        <v>2</v>
      </c>
      <c r="AO14" s="59">
        <v>0.6</v>
      </c>
      <c r="AP14" s="3">
        <v>0</v>
      </c>
      <c r="AQ14" s="7">
        <v>0</v>
      </c>
      <c r="AR14" s="7">
        <v>3300</v>
      </c>
      <c r="AS14" s="59">
        <v>0</v>
      </c>
      <c r="AT14" s="7">
        <v>0</v>
      </c>
      <c r="AU14" s="59">
        <v>1</v>
      </c>
      <c r="AV14" s="7" t="s">
        <v>119</v>
      </c>
      <c r="AW14" s="44" t="s">
        <v>118</v>
      </c>
      <c r="AX14" s="7">
        <v>2</v>
      </c>
      <c r="AY14" s="44">
        <v>0.6</v>
      </c>
      <c r="AZ14" s="3">
        <v>0</v>
      </c>
      <c r="BA14" s="7">
        <v>0</v>
      </c>
      <c r="BB14" s="7">
        <v>4200</v>
      </c>
      <c r="BC14" s="59">
        <v>0</v>
      </c>
      <c r="BD14" s="7">
        <v>0</v>
      </c>
      <c r="BE14" s="59">
        <v>1</v>
      </c>
      <c r="BF14" s="7" t="s">
        <v>119</v>
      </c>
      <c r="BG14" s="44" t="s">
        <v>118</v>
      </c>
      <c r="BH14" s="7">
        <v>2</v>
      </c>
      <c r="BI14" s="44">
        <v>0.6</v>
      </c>
      <c r="BJ14" s="3">
        <v>0</v>
      </c>
      <c r="BK14" s="7">
        <v>0</v>
      </c>
      <c r="BL14" s="7">
        <v>5100</v>
      </c>
      <c r="BM14" s="7">
        <v>0</v>
      </c>
      <c r="BN14" s="7">
        <v>0</v>
      </c>
      <c r="BO14" s="59">
        <v>1</v>
      </c>
      <c r="BP14" s="7" t="s">
        <v>119</v>
      </c>
      <c r="BQ14" s="44" t="s">
        <v>118</v>
      </c>
      <c r="BR14" s="7">
        <v>2</v>
      </c>
      <c r="BS14" s="44">
        <v>0.6</v>
      </c>
      <c r="BT14" s="45">
        <v>0</v>
      </c>
    </row>
    <row r="15" spans="1:72" x14ac:dyDescent="0.25">
      <c r="A15">
        <v>599</v>
      </c>
      <c r="B15" t="s">
        <v>129</v>
      </c>
      <c r="C15" s="16">
        <v>16500</v>
      </c>
      <c r="D15" s="7">
        <v>0</v>
      </c>
      <c r="E15" s="7">
        <v>0</v>
      </c>
      <c r="F15" s="7">
        <v>11300</v>
      </c>
      <c r="G15" s="59">
        <v>0</v>
      </c>
      <c r="H15" s="7"/>
      <c r="I15" s="44"/>
      <c r="J15" s="7">
        <v>0</v>
      </c>
      <c r="K15" s="44">
        <v>0.45833333333333331</v>
      </c>
      <c r="L15" s="3">
        <v>0</v>
      </c>
      <c r="M15" s="7">
        <v>11300</v>
      </c>
      <c r="N15" s="7">
        <v>0</v>
      </c>
      <c r="O15" s="59">
        <v>0</v>
      </c>
      <c r="P15" s="7">
        <v>1600</v>
      </c>
      <c r="Q15" s="44">
        <v>0</v>
      </c>
      <c r="R15" s="44"/>
      <c r="S15" s="44"/>
      <c r="T15" s="7">
        <v>0</v>
      </c>
      <c r="U15" s="44">
        <v>0.45833333333333331</v>
      </c>
      <c r="V15" s="3">
        <v>0</v>
      </c>
      <c r="W15" s="59">
        <v>1600</v>
      </c>
      <c r="X15" s="59">
        <v>5300</v>
      </c>
      <c r="Y15" s="59">
        <v>0</v>
      </c>
      <c r="Z15" s="7">
        <v>0</v>
      </c>
      <c r="AA15" s="7">
        <v>1</v>
      </c>
      <c r="AB15" s="7" t="s">
        <v>156</v>
      </c>
      <c r="AC15" s="44" t="s">
        <v>164</v>
      </c>
      <c r="AD15" s="7">
        <v>9</v>
      </c>
      <c r="AE15" s="44">
        <v>0.81527777777777777</v>
      </c>
      <c r="AF15" s="3">
        <v>0</v>
      </c>
      <c r="AG15" s="7">
        <v>0</v>
      </c>
      <c r="AH15" s="7">
        <v>9500</v>
      </c>
      <c r="AI15" s="59">
        <v>0</v>
      </c>
      <c r="AJ15" s="59">
        <v>0</v>
      </c>
      <c r="AK15" s="59">
        <v>1</v>
      </c>
      <c r="AL15" s="59" t="s">
        <v>156</v>
      </c>
      <c r="AM15" s="59" t="s">
        <v>164</v>
      </c>
      <c r="AN15" s="59">
        <v>9</v>
      </c>
      <c r="AO15" s="59">
        <v>0.81527777777777777</v>
      </c>
      <c r="AP15" s="3">
        <v>0</v>
      </c>
      <c r="AQ15" s="7">
        <v>0</v>
      </c>
      <c r="AR15" s="7">
        <v>9500</v>
      </c>
      <c r="AS15" s="59">
        <v>0</v>
      </c>
      <c r="AT15" s="7">
        <v>0</v>
      </c>
      <c r="AU15" s="59">
        <v>1</v>
      </c>
      <c r="AV15" s="7" t="s">
        <v>156</v>
      </c>
      <c r="AW15" s="44" t="s">
        <v>164</v>
      </c>
      <c r="AX15" s="7">
        <v>9</v>
      </c>
      <c r="AY15" s="44">
        <v>0.81527777777777777</v>
      </c>
      <c r="AZ15" s="3">
        <v>0</v>
      </c>
      <c r="BA15" s="7">
        <v>0</v>
      </c>
      <c r="BB15" s="7">
        <v>8000</v>
      </c>
      <c r="BC15" s="59">
        <v>0</v>
      </c>
      <c r="BD15" s="7">
        <v>0</v>
      </c>
      <c r="BE15" s="59">
        <v>1</v>
      </c>
      <c r="BF15" s="7" t="s">
        <v>156</v>
      </c>
      <c r="BG15" s="44" t="s">
        <v>164</v>
      </c>
      <c r="BH15" s="7">
        <v>9</v>
      </c>
      <c r="BI15" s="44">
        <v>0.81527777777777777</v>
      </c>
      <c r="BJ15" s="3">
        <v>0</v>
      </c>
      <c r="BK15" s="7">
        <v>0</v>
      </c>
      <c r="BL15" s="7">
        <v>9300</v>
      </c>
      <c r="BM15" s="7">
        <v>0</v>
      </c>
      <c r="BN15" s="7">
        <v>0</v>
      </c>
      <c r="BO15" s="59">
        <v>1</v>
      </c>
      <c r="BP15" s="7" t="s">
        <v>156</v>
      </c>
      <c r="BQ15" s="44" t="s">
        <v>164</v>
      </c>
      <c r="BR15" s="7">
        <v>9</v>
      </c>
      <c r="BS15" s="44">
        <v>0.81527777777777777</v>
      </c>
      <c r="BT15" s="45">
        <v>0</v>
      </c>
    </row>
    <row r="16" spans="1:72" x14ac:dyDescent="0.25">
      <c r="A16">
        <v>620</v>
      </c>
      <c r="B16" t="s">
        <v>130</v>
      </c>
      <c r="C16" s="16">
        <v>16500</v>
      </c>
      <c r="D16" s="7">
        <v>0</v>
      </c>
      <c r="E16" s="7">
        <v>0</v>
      </c>
      <c r="F16" s="7">
        <v>7800</v>
      </c>
      <c r="G16" s="59">
        <v>0</v>
      </c>
      <c r="H16" s="7"/>
      <c r="I16" s="44"/>
      <c r="J16" s="7">
        <v>0</v>
      </c>
      <c r="K16" s="44">
        <v>0.45833333333333331</v>
      </c>
      <c r="L16" s="3">
        <v>0</v>
      </c>
      <c r="M16" s="7">
        <v>7800</v>
      </c>
      <c r="N16" s="7">
        <v>1800</v>
      </c>
      <c r="O16" s="59">
        <v>0</v>
      </c>
      <c r="P16" s="7">
        <v>0</v>
      </c>
      <c r="Q16" s="44">
        <v>3</v>
      </c>
      <c r="R16" s="44" t="s">
        <v>122</v>
      </c>
      <c r="S16" s="44" t="s">
        <v>149</v>
      </c>
      <c r="T16" s="7">
        <v>2</v>
      </c>
      <c r="U16" s="44">
        <v>0.67083333333333339</v>
      </c>
      <c r="V16" s="3">
        <v>0</v>
      </c>
      <c r="W16" s="59">
        <v>0</v>
      </c>
      <c r="X16" s="59">
        <v>8300</v>
      </c>
      <c r="Y16" s="59">
        <v>0</v>
      </c>
      <c r="Z16" s="7">
        <v>0</v>
      </c>
      <c r="AA16" s="7">
        <v>3</v>
      </c>
      <c r="AB16" s="7" t="s">
        <v>122</v>
      </c>
      <c r="AC16" s="44" t="s">
        <v>149</v>
      </c>
      <c r="AD16" s="7">
        <v>2</v>
      </c>
      <c r="AE16" s="44">
        <v>0.67083333333333339</v>
      </c>
      <c r="AF16" s="3">
        <v>0</v>
      </c>
      <c r="AG16" s="7">
        <v>0</v>
      </c>
      <c r="AH16" s="7">
        <v>6900</v>
      </c>
      <c r="AI16" s="59">
        <v>0</v>
      </c>
      <c r="AJ16" s="59">
        <v>0</v>
      </c>
      <c r="AK16" s="59">
        <v>3</v>
      </c>
      <c r="AL16" s="59" t="s">
        <v>122</v>
      </c>
      <c r="AM16" s="59" t="s">
        <v>149</v>
      </c>
      <c r="AN16" s="59">
        <v>2</v>
      </c>
      <c r="AO16" s="59">
        <v>0.67083333333333339</v>
      </c>
      <c r="AP16" s="3">
        <v>0</v>
      </c>
      <c r="AQ16" s="7">
        <v>0</v>
      </c>
      <c r="AR16" s="7">
        <v>4400</v>
      </c>
      <c r="AS16" s="59">
        <v>0</v>
      </c>
      <c r="AT16" s="7">
        <v>0</v>
      </c>
      <c r="AU16" s="59">
        <v>3</v>
      </c>
      <c r="AV16" s="7" t="s">
        <v>122</v>
      </c>
      <c r="AW16" s="44" t="s">
        <v>149</v>
      </c>
      <c r="AX16" s="7">
        <v>2</v>
      </c>
      <c r="AY16" s="44">
        <v>0.67083333333333339</v>
      </c>
      <c r="AZ16" s="3">
        <v>0</v>
      </c>
      <c r="BA16" s="7">
        <v>0</v>
      </c>
      <c r="BB16" s="7">
        <v>8300</v>
      </c>
      <c r="BC16" s="59">
        <v>0</v>
      </c>
      <c r="BD16" s="7">
        <v>0</v>
      </c>
      <c r="BE16" s="59">
        <v>3</v>
      </c>
      <c r="BF16" s="7" t="s">
        <v>122</v>
      </c>
      <c r="BG16" s="44" t="s">
        <v>149</v>
      </c>
      <c r="BH16" s="7">
        <v>2</v>
      </c>
      <c r="BI16" s="44">
        <v>0.67083333333333339</v>
      </c>
      <c r="BJ16" s="3">
        <v>0</v>
      </c>
      <c r="BK16" s="7">
        <v>0</v>
      </c>
      <c r="BL16" s="7">
        <v>5900</v>
      </c>
      <c r="BM16" s="7">
        <v>0</v>
      </c>
      <c r="BN16" s="7">
        <v>0</v>
      </c>
      <c r="BO16" s="59">
        <v>3</v>
      </c>
      <c r="BP16" s="7" t="s">
        <v>122</v>
      </c>
      <c r="BQ16" s="44" t="s">
        <v>149</v>
      </c>
      <c r="BR16" s="7">
        <v>2</v>
      </c>
      <c r="BS16" s="44">
        <v>0.67083333333333339</v>
      </c>
      <c r="BT16" s="45">
        <v>0</v>
      </c>
    </row>
    <row r="17" spans="1:72" x14ac:dyDescent="0.25">
      <c r="A17">
        <v>626</v>
      </c>
      <c r="B17" t="s">
        <v>131</v>
      </c>
      <c r="C17" s="16">
        <v>16500</v>
      </c>
      <c r="D17" s="7">
        <v>0</v>
      </c>
      <c r="E17" s="7">
        <v>0</v>
      </c>
      <c r="F17" s="7">
        <v>9600</v>
      </c>
      <c r="G17" s="59">
        <v>0</v>
      </c>
      <c r="H17" s="7"/>
      <c r="I17" s="44"/>
      <c r="J17" s="7">
        <v>0</v>
      </c>
      <c r="K17" s="44">
        <v>0.45833333333333331</v>
      </c>
      <c r="L17" s="3">
        <v>0</v>
      </c>
      <c r="M17" s="7">
        <v>9600</v>
      </c>
      <c r="N17" s="7">
        <v>0</v>
      </c>
      <c r="O17" s="59">
        <v>0</v>
      </c>
      <c r="P17" s="7">
        <v>5500</v>
      </c>
      <c r="Q17" s="44">
        <v>0</v>
      </c>
      <c r="R17" s="44"/>
      <c r="S17" s="44"/>
      <c r="T17" s="7">
        <v>0</v>
      </c>
      <c r="U17" s="44">
        <v>0.45833333333333331</v>
      </c>
      <c r="V17" s="3">
        <v>0</v>
      </c>
      <c r="W17" s="59">
        <v>5500</v>
      </c>
      <c r="X17" s="59">
        <v>0</v>
      </c>
      <c r="Y17" s="59">
        <v>0</v>
      </c>
      <c r="Z17" s="7">
        <v>0</v>
      </c>
      <c r="AA17" s="7">
        <v>0</v>
      </c>
      <c r="AB17" s="7"/>
      <c r="AC17" s="44"/>
      <c r="AD17" s="7">
        <v>0</v>
      </c>
      <c r="AE17" s="44">
        <v>0.45833333333333331</v>
      </c>
      <c r="AF17" s="3">
        <v>0</v>
      </c>
      <c r="AG17" s="7">
        <v>0</v>
      </c>
      <c r="AH17" s="7">
        <v>0</v>
      </c>
      <c r="AI17" s="59">
        <v>0</v>
      </c>
      <c r="AJ17" s="59">
        <v>0</v>
      </c>
      <c r="AK17" s="59">
        <v>0</v>
      </c>
      <c r="AL17" s="59"/>
      <c r="AM17" s="59"/>
      <c r="AN17" s="59">
        <v>0</v>
      </c>
      <c r="AO17" s="59">
        <v>0.45833333333333331</v>
      </c>
      <c r="AP17" s="3">
        <v>0</v>
      </c>
      <c r="AQ17" s="7">
        <v>0</v>
      </c>
      <c r="AR17" s="7">
        <v>0</v>
      </c>
      <c r="AS17" s="59">
        <v>0</v>
      </c>
      <c r="AT17" s="7">
        <v>0</v>
      </c>
      <c r="AU17" s="59">
        <v>0</v>
      </c>
      <c r="AV17" s="7"/>
      <c r="AW17" s="44"/>
      <c r="AX17" s="7">
        <v>0</v>
      </c>
      <c r="AY17" s="44">
        <v>0.45833333333333331</v>
      </c>
      <c r="AZ17" s="3">
        <v>0</v>
      </c>
      <c r="BA17" s="7">
        <v>0</v>
      </c>
      <c r="BB17" s="7">
        <v>0</v>
      </c>
      <c r="BC17" s="59">
        <v>0</v>
      </c>
      <c r="BD17" s="7">
        <v>0</v>
      </c>
      <c r="BE17" s="59">
        <v>0</v>
      </c>
      <c r="BF17" s="7"/>
      <c r="BG17" s="44"/>
      <c r="BH17" s="7">
        <v>0</v>
      </c>
      <c r="BI17" s="44">
        <v>0.45833333333333331</v>
      </c>
      <c r="BJ17" s="3">
        <v>0</v>
      </c>
      <c r="BK17" s="7">
        <v>0</v>
      </c>
      <c r="BL17" s="7">
        <v>0</v>
      </c>
      <c r="BM17" s="7">
        <v>0</v>
      </c>
      <c r="BN17" s="7">
        <v>0</v>
      </c>
      <c r="BO17" s="59">
        <v>0</v>
      </c>
      <c r="BP17" s="7"/>
      <c r="BQ17" s="44"/>
      <c r="BR17" s="7">
        <v>0</v>
      </c>
      <c r="BS17" s="44">
        <v>0.45833333333333331</v>
      </c>
      <c r="BT17" s="45">
        <v>0</v>
      </c>
    </row>
    <row r="18" spans="1:72" x14ac:dyDescent="0.25">
      <c r="A18">
        <v>627</v>
      </c>
      <c r="B18" t="s">
        <v>132</v>
      </c>
      <c r="C18" s="16">
        <v>6500</v>
      </c>
      <c r="D18" s="7">
        <v>2500</v>
      </c>
      <c r="E18" s="7">
        <v>0</v>
      </c>
      <c r="F18" s="7">
        <v>0</v>
      </c>
      <c r="G18" s="59">
        <v>1</v>
      </c>
      <c r="H18" s="7" t="s">
        <v>142</v>
      </c>
      <c r="I18" s="44" t="s">
        <v>213</v>
      </c>
      <c r="J18" s="7">
        <v>9</v>
      </c>
      <c r="K18" s="44">
        <v>0.85833333333333339</v>
      </c>
      <c r="L18" s="3">
        <v>0</v>
      </c>
      <c r="M18" s="7">
        <v>0</v>
      </c>
      <c r="N18" s="7">
        <v>7300</v>
      </c>
      <c r="O18" s="59">
        <v>0</v>
      </c>
      <c r="P18" s="7">
        <v>0</v>
      </c>
      <c r="Q18" s="44">
        <v>3</v>
      </c>
      <c r="R18" s="44" t="s">
        <v>149</v>
      </c>
      <c r="S18" s="44" t="s">
        <v>143</v>
      </c>
      <c r="T18" s="7">
        <v>4</v>
      </c>
      <c r="U18" s="44">
        <v>0.7270833333333333</v>
      </c>
      <c r="V18" s="3">
        <v>0</v>
      </c>
      <c r="W18" s="59">
        <v>0</v>
      </c>
      <c r="X18" s="59">
        <v>2100</v>
      </c>
      <c r="Y18" s="59">
        <v>0</v>
      </c>
      <c r="Z18" s="7">
        <v>0</v>
      </c>
      <c r="AA18" s="7">
        <v>3</v>
      </c>
      <c r="AB18" s="7" t="s">
        <v>149</v>
      </c>
      <c r="AC18" s="44" t="s">
        <v>143</v>
      </c>
      <c r="AD18" s="7">
        <v>4</v>
      </c>
      <c r="AE18" s="44">
        <v>0.7270833333333333</v>
      </c>
      <c r="AF18" s="3">
        <v>0</v>
      </c>
      <c r="AG18" s="7">
        <v>0</v>
      </c>
      <c r="AH18" s="7">
        <v>6600</v>
      </c>
      <c r="AI18" s="59">
        <v>0</v>
      </c>
      <c r="AJ18" s="59">
        <v>0</v>
      </c>
      <c r="AK18" s="59">
        <v>3</v>
      </c>
      <c r="AL18" s="59" t="s">
        <v>149</v>
      </c>
      <c r="AM18" s="59" t="s">
        <v>143</v>
      </c>
      <c r="AN18" s="59">
        <v>4</v>
      </c>
      <c r="AO18" s="59">
        <v>0.7270833333333333</v>
      </c>
      <c r="AP18" s="3">
        <v>0</v>
      </c>
      <c r="AQ18" s="7">
        <v>0</v>
      </c>
      <c r="AR18" s="7">
        <v>4800</v>
      </c>
      <c r="AS18" s="59">
        <v>0</v>
      </c>
      <c r="AT18" s="7">
        <v>0</v>
      </c>
      <c r="AU18" s="59">
        <v>3</v>
      </c>
      <c r="AV18" s="7" t="s">
        <v>149</v>
      </c>
      <c r="AW18" s="44" t="s">
        <v>143</v>
      </c>
      <c r="AX18" s="7">
        <v>4</v>
      </c>
      <c r="AY18" s="44">
        <v>0.7270833333333333</v>
      </c>
      <c r="AZ18" s="3">
        <v>0</v>
      </c>
      <c r="BA18" s="7">
        <v>0</v>
      </c>
      <c r="BB18" s="7">
        <v>3800</v>
      </c>
      <c r="BC18" s="59">
        <v>0</v>
      </c>
      <c r="BD18" s="7">
        <v>0</v>
      </c>
      <c r="BE18" s="59">
        <v>3</v>
      </c>
      <c r="BF18" s="7" t="s">
        <v>149</v>
      </c>
      <c r="BG18" s="44" t="s">
        <v>143</v>
      </c>
      <c r="BH18" s="7">
        <v>4</v>
      </c>
      <c r="BI18" s="44">
        <v>0.7270833333333333</v>
      </c>
      <c r="BJ18" s="3">
        <v>0</v>
      </c>
      <c r="BK18" s="7">
        <v>0</v>
      </c>
      <c r="BL18" s="7">
        <v>8900</v>
      </c>
      <c r="BM18" s="7">
        <v>0</v>
      </c>
      <c r="BN18" s="7">
        <v>0</v>
      </c>
      <c r="BO18" s="59">
        <v>3</v>
      </c>
      <c r="BP18" s="7" t="s">
        <v>149</v>
      </c>
      <c r="BQ18" s="44" t="s">
        <v>143</v>
      </c>
      <c r="BR18" s="7">
        <v>4</v>
      </c>
      <c r="BS18" s="44">
        <v>0.7270833333333333</v>
      </c>
      <c r="BT18" s="45">
        <v>0</v>
      </c>
    </row>
    <row r="19" spans="1:72" x14ac:dyDescent="0.25">
      <c r="A19">
        <v>651</v>
      </c>
      <c r="B19" t="s">
        <v>133</v>
      </c>
      <c r="C19" s="16">
        <v>6500</v>
      </c>
      <c r="D19" s="7">
        <v>300</v>
      </c>
      <c r="E19" s="7">
        <v>0</v>
      </c>
      <c r="F19" s="7">
        <v>0</v>
      </c>
      <c r="G19" s="59">
        <v>0</v>
      </c>
      <c r="H19" s="7"/>
      <c r="I19" s="44"/>
      <c r="J19" s="7">
        <v>0</v>
      </c>
      <c r="K19" s="44">
        <v>0.45833333333333331</v>
      </c>
      <c r="L19" s="3">
        <v>0</v>
      </c>
      <c r="M19" s="7">
        <v>0</v>
      </c>
      <c r="N19" s="7">
        <v>4200</v>
      </c>
      <c r="O19" s="59">
        <v>0</v>
      </c>
      <c r="P19" s="7">
        <v>0</v>
      </c>
      <c r="Q19" s="44">
        <v>0</v>
      </c>
      <c r="R19" s="44"/>
      <c r="S19" s="44"/>
      <c r="T19" s="7">
        <v>0</v>
      </c>
      <c r="U19" s="44">
        <v>0.45833333333333331</v>
      </c>
      <c r="V19" s="3">
        <v>0</v>
      </c>
      <c r="W19" s="59">
        <v>0</v>
      </c>
      <c r="X19" s="59">
        <v>8900</v>
      </c>
      <c r="Y19" s="59">
        <v>0</v>
      </c>
      <c r="Z19" s="7">
        <v>0</v>
      </c>
      <c r="AA19" s="7">
        <v>0</v>
      </c>
      <c r="AB19" s="7"/>
      <c r="AC19" s="44"/>
      <c r="AD19" s="7">
        <v>0</v>
      </c>
      <c r="AE19" s="44">
        <v>0.45833333333333331</v>
      </c>
      <c r="AF19" s="3">
        <v>0</v>
      </c>
      <c r="AG19" s="7">
        <v>0</v>
      </c>
      <c r="AH19" s="7">
        <v>4900</v>
      </c>
      <c r="AI19" s="59">
        <v>0</v>
      </c>
      <c r="AJ19" s="59">
        <v>0</v>
      </c>
      <c r="AK19" s="59">
        <v>0</v>
      </c>
      <c r="AL19" s="59"/>
      <c r="AM19" s="59"/>
      <c r="AN19" s="59">
        <v>0</v>
      </c>
      <c r="AO19" s="59">
        <v>0.45833333333333331</v>
      </c>
      <c r="AP19" s="3">
        <v>0</v>
      </c>
      <c r="AQ19" s="7">
        <v>0</v>
      </c>
      <c r="AR19" s="7">
        <v>9200</v>
      </c>
      <c r="AS19" s="59">
        <v>0</v>
      </c>
      <c r="AT19" s="7">
        <v>0</v>
      </c>
      <c r="AU19" s="59">
        <v>0</v>
      </c>
      <c r="AV19" s="7"/>
      <c r="AW19" s="44"/>
      <c r="AX19" s="7">
        <v>0</v>
      </c>
      <c r="AY19" s="44">
        <v>0.45833333333333331</v>
      </c>
      <c r="AZ19" s="3">
        <v>0</v>
      </c>
      <c r="BA19" s="7">
        <v>0</v>
      </c>
      <c r="BB19" s="7">
        <v>7500</v>
      </c>
      <c r="BC19" s="59">
        <v>0</v>
      </c>
      <c r="BD19" s="7">
        <v>0</v>
      </c>
      <c r="BE19" s="59">
        <v>0</v>
      </c>
      <c r="BF19" s="7"/>
      <c r="BG19" s="44"/>
      <c r="BH19" s="7">
        <v>0</v>
      </c>
      <c r="BI19" s="44">
        <v>0.45833333333333331</v>
      </c>
      <c r="BJ19" s="3">
        <v>0</v>
      </c>
      <c r="BK19" s="7">
        <v>0</v>
      </c>
      <c r="BL19" s="7">
        <v>5800</v>
      </c>
      <c r="BM19" s="7">
        <v>0</v>
      </c>
      <c r="BN19" s="7">
        <v>0</v>
      </c>
      <c r="BO19" s="59">
        <v>0</v>
      </c>
      <c r="BP19" s="7"/>
      <c r="BQ19" s="44"/>
      <c r="BR19" s="7">
        <v>0</v>
      </c>
      <c r="BS19" s="44">
        <v>0.45833333333333331</v>
      </c>
      <c r="BT19" s="45">
        <v>0</v>
      </c>
    </row>
    <row r="20" spans="1:72" x14ac:dyDescent="0.25">
      <c r="A20">
        <v>668</v>
      </c>
      <c r="B20" t="s">
        <v>134</v>
      </c>
      <c r="C20" s="16">
        <v>6500</v>
      </c>
      <c r="D20" s="7">
        <v>500</v>
      </c>
      <c r="E20" s="7">
        <v>0</v>
      </c>
      <c r="F20" s="7">
        <v>0</v>
      </c>
      <c r="G20" s="59">
        <v>1</v>
      </c>
      <c r="H20" s="7" t="s">
        <v>156</v>
      </c>
      <c r="I20" s="44" t="s">
        <v>142</v>
      </c>
      <c r="J20" s="7">
        <v>7</v>
      </c>
      <c r="K20" s="44">
        <v>0.82986111111111116</v>
      </c>
      <c r="L20" s="3">
        <v>0</v>
      </c>
      <c r="M20" s="7">
        <v>0</v>
      </c>
      <c r="N20" s="7">
        <v>7700</v>
      </c>
      <c r="O20" s="59">
        <v>0</v>
      </c>
      <c r="P20" s="7">
        <v>0</v>
      </c>
      <c r="Q20" s="44">
        <v>2</v>
      </c>
      <c r="R20" s="44" t="s">
        <v>161</v>
      </c>
      <c r="S20" s="44" t="s">
        <v>142</v>
      </c>
      <c r="T20" s="7">
        <v>7</v>
      </c>
      <c r="U20" s="44">
        <v>0.8340277777777777</v>
      </c>
      <c r="V20" s="3">
        <v>0</v>
      </c>
      <c r="W20" s="59">
        <v>0</v>
      </c>
      <c r="X20" s="59">
        <v>2900</v>
      </c>
      <c r="Y20" s="59">
        <v>0</v>
      </c>
      <c r="Z20" s="7">
        <v>0</v>
      </c>
      <c r="AA20" s="7">
        <v>2</v>
      </c>
      <c r="AB20" s="7" t="s">
        <v>161</v>
      </c>
      <c r="AC20" s="44" t="s">
        <v>142</v>
      </c>
      <c r="AD20" s="7">
        <v>8</v>
      </c>
      <c r="AE20" s="44">
        <v>0.84027777777777779</v>
      </c>
      <c r="AF20" s="3">
        <v>0</v>
      </c>
      <c r="AG20" s="7">
        <v>0</v>
      </c>
      <c r="AH20" s="7">
        <v>0</v>
      </c>
      <c r="AI20" s="59">
        <v>0</v>
      </c>
      <c r="AJ20" s="59">
        <v>0</v>
      </c>
      <c r="AK20" s="59">
        <v>0</v>
      </c>
      <c r="AL20" s="59"/>
      <c r="AM20" s="59"/>
      <c r="AN20" s="59">
        <v>0</v>
      </c>
      <c r="AO20" s="59">
        <v>0.45833333333333331</v>
      </c>
      <c r="AP20" s="3">
        <v>0</v>
      </c>
      <c r="AQ20" s="7">
        <v>0</v>
      </c>
      <c r="AR20" s="7">
        <v>0</v>
      </c>
      <c r="AS20" s="59">
        <v>0</v>
      </c>
      <c r="AT20" s="7">
        <v>0</v>
      </c>
      <c r="AU20" s="59">
        <v>0</v>
      </c>
      <c r="AV20" s="7"/>
      <c r="AW20" s="44"/>
      <c r="AX20" s="7">
        <v>0</v>
      </c>
      <c r="AY20" s="44">
        <v>0.45833333333333331</v>
      </c>
      <c r="AZ20" s="3">
        <v>0</v>
      </c>
      <c r="BA20" s="7">
        <v>0</v>
      </c>
      <c r="BB20" s="7">
        <v>0</v>
      </c>
      <c r="BC20" s="59">
        <v>0</v>
      </c>
      <c r="BD20" s="7">
        <v>0</v>
      </c>
      <c r="BE20" s="59">
        <v>0</v>
      </c>
      <c r="BF20" s="7"/>
      <c r="BG20" s="44"/>
      <c r="BH20" s="7">
        <v>0</v>
      </c>
      <c r="BI20" s="44">
        <v>0.45833333333333331</v>
      </c>
      <c r="BJ20" s="3">
        <v>0</v>
      </c>
      <c r="BK20" s="7">
        <v>0</v>
      </c>
      <c r="BL20" s="7">
        <v>0</v>
      </c>
      <c r="BM20" s="7">
        <v>0</v>
      </c>
      <c r="BN20" s="7">
        <v>0</v>
      </c>
      <c r="BO20" s="59">
        <v>0</v>
      </c>
      <c r="BP20" s="7"/>
      <c r="BQ20" s="44"/>
      <c r="BR20" s="7">
        <v>0</v>
      </c>
      <c r="BS20" s="44">
        <v>0.45833333333333331</v>
      </c>
      <c r="BT20" s="45">
        <v>0</v>
      </c>
    </row>
    <row r="21" spans="1:72" x14ac:dyDescent="0.25">
      <c r="A21">
        <v>681</v>
      </c>
      <c r="B21" t="s">
        <v>135</v>
      </c>
      <c r="C21" s="16">
        <v>6500</v>
      </c>
      <c r="D21" s="7">
        <v>1900</v>
      </c>
      <c r="E21" s="7">
        <v>0</v>
      </c>
      <c r="F21" s="7">
        <v>0</v>
      </c>
      <c r="G21" s="59">
        <v>0</v>
      </c>
      <c r="H21" s="7"/>
      <c r="I21" s="44"/>
      <c r="J21" s="7">
        <v>0</v>
      </c>
      <c r="K21" s="44">
        <v>0.45833333333333331</v>
      </c>
      <c r="L21" s="3">
        <v>0</v>
      </c>
      <c r="M21" s="7">
        <v>0</v>
      </c>
      <c r="N21" s="7">
        <v>2900</v>
      </c>
      <c r="O21" s="59">
        <v>0</v>
      </c>
      <c r="P21" s="7">
        <v>0</v>
      </c>
      <c r="Q21" s="44">
        <v>0</v>
      </c>
      <c r="R21" s="44"/>
      <c r="S21" s="44"/>
      <c r="T21" s="7">
        <v>0</v>
      </c>
      <c r="U21" s="44">
        <v>0.45833333333333331</v>
      </c>
      <c r="V21" s="3">
        <v>0</v>
      </c>
      <c r="W21" s="59">
        <v>0</v>
      </c>
      <c r="X21" s="59">
        <v>5700</v>
      </c>
      <c r="Y21" s="59">
        <v>0</v>
      </c>
      <c r="Z21" s="7">
        <v>0</v>
      </c>
      <c r="AA21" s="7">
        <v>0</v>
      </c>
      <c r="AB21" s="7"/>
      <c r="AC21" s="44"/>
      <c r="AD21" s="7">
        <v>0</v>
      </c>
      <c r="AE21" s="44">
        <v>0.45833333333333331</v>
      </c>
      <c r="AF21" s="3">
        <v>0</v>
      </c>
      <c r="AG21" s="7">
        <v>0</v>
      </c>
      <c r="AH21" s="7">
        <v>4600</v>
      </c>
      <c r="AI21" s="59">
        <v>0</v>
      </c>
      <c r="AJ21" s="59">
        <v>0</v>
      </c>
      <c r="AK21" s="59">
        <v>0</v>
      </c>
      <c r="AL21" s="59"/>
      <c r="AM21" s="59"/>
      <c r="AN21" s="59">
        <v>0</v>
      </c>
      <c r="AO21" s="59">
        <v>0.45833333333333331</v>
      </c>
      <c r="AP21" s="3">
        <v>0</v>
      </c>
      <c r="AQ21" s="7">
        <v>0</v>
      </c>
      <c r="AR21" s="7">
        <v>8900</v>
      </c>
      <c r="AS21" s="59">
        <v>0</v>
      </c>
      <c r="AT21" s="7">
        <v>0</v>
      </c>
      <c r="AU21" s="59">
        <v>0</v>
      </c>
      <c r="AV21" s="7"/>
      <c r="AW21" s="44"/>
      <c r="AX21" s="7">
        <v>0</v>
      </c>
      <c r="AY21" s="44">
        <v>0.45833333333333331</v>
      </c>
      <c r="AZ21" s="3">
        <v>0</v>
      </c>
      <c r="BA21" s="7">
        <v>0</v>
      </c>
      <c r="BB21" s="7">
        <v>2300</v>
      </c>
      <c r="BC21" s="59">
        <v>0</v>
      </c>
      <c r="BD21" s="7">
        <v>0</v>
      </c>
      <c r="BE21" s="59">
        <v>0</v>
      </c>
      <c r="BF21" s="7"/>
      <c r="BG21" s="44"/>
      <c r="BH21" s="7">
        <v>0</v>
      </c>
      <c r="BI21" s="44">
        <v>0.45833333333333331</v>
      </c>
      <c r="BJ21" s="3">
        <v>0</v>
      </c>
      <c r="BK21" s="7">
        <v>0</v>
      </c>
      <c r="BL21" s="7">
        <v>5800</v>
      </c>
      <c r="BM21" s="7">
        <v>0</v>
      </c>
      <c r="BN21" s="7">
        <v>0</v>
      </c>
      <c r="BO21" s="59">
        <v>0</v>
      </c>
      <c r="BP21" s="7"/>
      <c r="BQ21" s="44"/>
      <c r="BR21" s="7">
        <v>0</v>
      </c>
      <c r="BS21" s="44">
        <v>0.45833333333333331</v>
      </c>
      <c r="BT21" s="45">
        <v>0</v>
      </c>
    </row>
    <row r="22" spans="1:72" x14ac:dyDescent="0.25">
      <c r="A22">
        <v>682</v>
      </c>
      <c r="B22" t="s">
        <v>136</v>
      </c>
      <c r="C22" s="16">
        <v>14000</v>
      </c>
      <c r="D22" s="7">
        <v>0</v>
      </c>
      <c r="E22" s="7">
        <v>0</v>
      </c>
      <c r="F22" s="7">
        <v>7200</v>
      </c>
      <c r="G22" s="59">
        <v>0</v>
      </c>
      <c r="H22" s="7"/>
      <c r="I22" s="44"/>
      <c r="J22" s="7">
        <v>0</v>
      </c>
      <c r="K22" s="44">
        <v>0.45833333333333331</v>
      </c>
      <c r="L22" s="3">
        <v>0</v>
      </c>
      <c r="M22" s="7">
        <v>7200</v>
      </c>
      <c r="N22" s="7">
        <v>0</v>
      </c>
      <c r="O22" s="59">
        <v>0</v>
      </c>
      <c r="P22" s="7">
        <v>1700</v>
      </c>
      <c r="Q22" s="44">
        <v>0</v>
      </c>
      <c r="R22" s="44"/>
      <c r="S22" s="44"/>
      <c r="T22" s="7">
        <v>0</v>
      </c>
      <c r="U22" s="44">
        <v>0.45833333333333331</v>
      </c>
      <c r="V22" s="3">
        <v>0</v>
      </c>
      <c r="W22" s="59">
        <v>1700</v>
      </c>
      <c r="X22" s="59">
        <v>1500</v>
      </c>
      <c r="Y22" s="59">
        <v>0</v>
      </c>
      <c r="Z22" s="7">
        <v>0</v>
      </c>
      <c r="AA22" s="7">
        <v>3</v>
      </c>
      <c r="AB22" s="7" t="s">
        <v>157</v>
      </c>
      <c r="AC22" s="44" t="s">
        <v>150</v>
      </c>
      <c r="AD22" s="7">
        <v>11</v>
      </c>
      <c r="AE22" s="44">
        <v>0.81944444444444453</v>
      </c>
      <c r="AF22" s="3">
        <v>0</v>
      </c>
      <c r="AG22" s="7">
        <v>0</v>
      </c>
      <c r="AH22" s="7">
        <v>0</v>
      </c>
      <c r="AI22" s="59">
        <v>0</v>
      </c>
      <c r="AJ22" s="59">
        <v>0</v>
      </c>
      <c r="AK22" s="59">
        <v>0</v>
      </c>
      <c r="AL22" s="59"/>
      <c r="AM22" s="59"/>
      <c r="AN22" s="59">
        <v>0</v>
      </c>
      <c r="AO22" s="59">
        <v>0.45833333333333331</v>
      </c>
      <c r="AP22" s="3">
        <v>0</v>
      </c>
      <c r="AQ22" s="7">
        <v>0</v>
      </c>
      <c r="AR22" s="7">
        <v>0</v>
      </c>
      <c r="AS22" s="59">
        <v>0</v>
      </c>
      <c r="AT22" s="7">
        <v>0</v>
      </c>
      <c r="AU22" s="59">
        <v>0</v>
      </c>
      <c r="AV22" s="7"/>
      <c r="AW22" s="44"/>
      <c r="AX22" s="7">
        <v>0</v>
      </c>
      <c r="AY22" s="44">
        <v>0.45833333333333331</v>
      </c>
      <c r="AZ22" s="3">
        <v>0</v>
      </c>
      <c r="BA22" s="7">
        <v>0</v>
      </c>
      <c r="BB22" s="7">
        <v>0</v>
      </c>
      <c r="BC22" s="59">
        <v>0</v>
      </c>
      <c r="BD22" s="7">
        <v>0</v>
      </c>
      <c r="BE22" s="59">
        <v>0</v>
      </c>
      <c r="BF22" s="7"/>
      <c r="BG22" s="44"/>
      <c r="BH22" s="7">
        <v>0</v>
      </c>
      <c r="BI22" s="44">
        <v>0.45833333333333331</v>
      </c>
      <c r="BJ22" s="3">
        <v>0</v>
      </c>
      <c r="BK22" s="7">
        <v>0</v>
      </c>
      <c r="BL22" s="7">
        <v>0</v>
      </c>
      <c r="BM22" s="7">
        <v>0</v>
      </c>
      <c r="BN22" s="7">
        <v>0</v>
      </c>
      <c r="BO22" s="59">
        <v>0</v>
      </c>
      <c r="BP22" s="7"/>
      <c r="BQ22" s="44"/>
      <c r="BR22" s="7">
        <v>0</v>
      </c>
      <c r="BS22" s="44">
        <v>0.45833333333333331</v>
      </c>
      <c r="BT22" s="45">
        <v>0</v>
      </c>
    </row>
    <row r="23" spans="1:72" x14ac:dyDescent="0.25">
      <c r="A23">
        <v>683</v>
      </c>
      <c r="B23" t="s">
        <v>137</v>
      </c>
      <c r="C23" s="16">
        <v>4000</v>
      </c>
      <c r="D23" s="7">
        <v>2400</v>
      </c>
      <c r="E23" s="7">
        <v>0</v>
      </c>
      <c r="F23" s="7">
        <v>0</v>
      </c>
      <c r="G23" s="59">
        <v>2</v>
      </c>
      <c r="H23" s="7" t="s">
        <v>148</v>
      </c>
      <c r="I23" s="44" t="s">
        <v>150</v>
      </c>
      <c r="J23" s="7">
        <v>10</v>
      </c>
      <c r="K23" s="44">
        <v>0.78263888888888899</v>
      </c>
      <c r="L23" s="3">
        <v>0</v>
      </c>
      <c r="M23" s="7">
        <v>0</v>
      </c>
      <c r="N23" s="7">
        <v>9400</v>
      </c>
      <c r="O23" s="59">
        <v>0</v>
      </c>
      <c r="P23" s="7">
        <v>0</v>
      </c>
      <c r="Q23" s="44">
        <v>3</v>
      </c>
      <c r="R23" s="44" t="s">
        <v>158</v>
      </c>
      <c r="S23" s="44" t="s">
        <v>117</v>
      </c>
      <c r="T23" s="7">
        <v>9</v>
      </c>
      <c r="U23" s="44">
        <v>0.79027777777777775</v>
      </c>
      <c r="V23" s="3">
        <v>0</v>
      </c>
      <c r="W23" s="59">
        <v>0</v>
      </c>
      <c r="X23" s="59">
        <v>7100</v>
      </c>
      <c r="Y23" s="59">
        <v>0</v>
      </c>
      <c r="Z23" s="7">
        <v>0</v>
      </c>
      <c r="AA23" s="7">
        <v>3</v>
      </c>
      <c r="AB23" s="7" t="s">
        <v>154</v>
      </c>
      <c r="AC23" s="44" t="s">
        <v>157</v>
      </c>
      <c r="AD23" s="7">
        <v>9</v>
      </c>
      <c r="AE23" s="44">
        <v>0.7909722222222223</v>
      </c>
      <c r="AF23" s="3">
        <v>0</v>
      </c>
      <c r="AG23" s="7">
        <v>0</v>
      </c>
      <c r="AH23" s="7">
        <v>0</v>
      </c>
      <c r="AI23" s="59">
        <v>0</v>
      </c>
      <c r="AJ23" s="59">
        <v>0</v>
      </c>
      <c r="AK23" s="59">
        <v>0</v>
      </c>
      <c r="AL23" s="59"/>
      <c r="AM23" s="59"/>
      <c r="AN23" s="59">
        <v>0</v>
      </c>
      <c r="AO23" s="59">
        <v>0.45833333333333331</v>
      </c>
      <c r="AP23" s="3">
        <v>0</v>
      </c>
      <c r="AQ23" s="7">
        <v>0</v>
      </c>
      <c r="AR23" s="7">
        <v>0</v>
      </c>
      <c r="AS23" s="59">
        <v>0</v>
      </c>
      <c r="AT23" s="7">
        <v>0</v>
      </c>
      <c r="AU23" s="59">
        <v>0</v>
      </c>
      <c r="AV23" s="7"/>
      <c r="AW23" s="44"/>
      <c r="AX23" s="7">
        <v>0</v>
      </c>
      <c r="AY23" s="44">
        <v>0.45833333333333331</v>
      </c>
      <c r="AZ23" s="3">
        <v>0</v>
      </c>
      <c r="BA23" s="7">
        <v>0</v>
      </c>
      <c r="BB23" s="7">
        <v>0</v>
      </c>
      <c r="BC23" s="59">
        <v>0</v>
      </c>
      <c r="BD23" s="7">
        <v>0</v>
      </c>
      <c r="BE23" s="59">
        <v>0</v>
      </c>
      <c r="BF23" s="7"/>
      <c r="BG23" s="44"/>
      <c r="BH23" s="7">
        <v>0</v>
      </c>
      <c r="BI23" s="44">
        <v>0.45833333333333331</v>
      </c>
      <c r="BJ23" s="3">
        <v>0</v>
      </c>
      <c r="BK23" s="7">
        <v>0</v>
      </c>
      <c r="BL23" s="7">
        <v>0</v>
      </c>
      <c r="BM23" s="7">
        <v>0</v>
      </c>
      <c r="BN23" s="7">
        <v>0</v>
      </c>
      <c r="BO23" s="59">
        <v>0</v>
      </c>
      <c r="BP23" s="7"/>
      <c r="BQ23" s="44"/>
      <c r="BR23" s="7">
        <v>0</v>
      </c>
      <c r="BS23" s="44">
        <v>0.45833333333333331</v>
      </c>
      <c r="BT23" s="45">
        <v>0</v>
      </c>
    </row>
    <row r="24" spans="1:72" x14ac:dyDescent="0.25">
      <c r="A24">
        <v>684</v>
      </c>
      <c r="B24" t="s">
        <v>138</v>
      </c>
      <c r="C24" s="16">
        <v>12000</v>
      </c>
      <c r="D24" s="7">
        <v>0</v>
      </c>
      <c r="E24" s="7">
        <v>0</v>
      </c>
      <c r="F24" s="7">
        <v>8500</v>
      </c>
      <c r="G24" s="59">
        <v>0</v>
      </c>
      <c r="H24" s="7"/>
      <c r="I24" s="44"/>
      <c r="J24" s="7">
        <v>0</v>
      </c>
      <c r="K24" s="44">
        <v>0.45833333333333331</v>
      </c>
      <c r="L24" s="3">
        <v>0</v>
      </c>
      <c r="M24" s="7">
        <v>8500</v>
      </c>
      <c r="N24" s="7">
        <v>0</v>
      </c>
      <c r="O24" s="59">
        <v>0</v>
      </c>
      <c r="P24" s="7">
        <v>100</v>
      </c>
      <c r="Q24" s="44">
        <v>0</v>
      </c>
      <c r="R24" s="44"/>
      <c r="S24" s="44"/>
      <c r="T24" s="7">
        <v>0</v>
      </c>
      <c r="U24" s="44">
        <v>0.45833333333333331</v>
      </c>
      <c r="V24" s="3">
        <v>0</v>
      </c>
      <c r="W24" s="59">
        <v>100</v>
      </c>
      <c r="X24" s="59">
        <v>0</v>
      </c>
      <c r="Y24" s="59">
        <v>0</v>
      </c>
      <c r="Z24" s="7">
        <v>0</v>
      </c>
      <c r="AA24" s="7">
        <v>0</v>
      </c>
      <c r="AB24" s="7"/>
      <c r="AC24" s="44"/>
      <c r="AD24" s="7">
        <v>0</v>
      </c>
      <c r="AE24" s="44">
        <v>0.45833333333333331</v>
      </c>
      <c r="AF24" s="3">
        <v>0</v>
      </c>
      <c r="AG24" s="7">
        <v>0</v>
      </c>
      <c r="AH24" s="7">
        <v>3300</v>
      </c>
      <c r="AI24" s="59">
        <v>0</v>
      </c>
      <c r="AJ24" s="59">
        <v>0</v>
      </c>
      <c r="AK24" s="59">
        <v>3</v>
      </c>
      <c r="AL24" s="59" t="s">
        <v>146</v>
      </c>
      <c r="AM24" s="59" t="s">
        <v>150</v>
      </c>
      <c r="AN24" s="59">
        <v>9</v>
      </c>
      <c r="AO24" s="59">
        <v>0.78888888888888886</v>
      </c>
      <c r="AP24" s="3">
        <v>0</v>
      </c>
      <c r="AQ24" s="7">
        <v>0</v>
      </c>
      <c r="AR24" s="7">
        <v>2200</v>
      </c>
      <c r="AS24" s="59">
        <v>0</v>
      </c>
      <c r="AT24" s="7">
        <v>0</v>
      </c>
      <c r="AU24" s="59">
        <v>3</v>
      </c>
      <c r="AV24" s="7" t="s">
        <v>146</v>
      </c>
      <c r="AW24" s="44" t="s">
        <v>150</v>
      </c>
      <c r="AX24" s="7">
        <v>9</v>
      </c>
      <c r="AY24" s="44">
        <v>0.78888888888888886</v>
      </c>
      <c r="AZ24" s="3">
        <v>0</v>
      </c>
      <c r="BA24" s="7">
        <v>0</v>
      </c>
      <c r="BB24" s="7">
        <v>5900</v>
      </c>
      <c r="BC24" s="59">
        <v>0</v>
      </c>
      <c r="BD24" s="7">
        <v>0</v>
      </c>
      <c r="BE24" s="59">
        <v>3</v>
      </c>
      <c r="BF24" s="7" t="s">
        <v>146</v>
      </c>
      <c r="BG24" s="44" t="s">
        <v>150</v>
      </c>
      <c r="BH24" s="7">
        <v>9</v>
      </c>
      <c r="BI24" s="44">
        <v>0.78888888888888886</v>
      </c>
      <c r="BJ24" s="3">
        <v>0</v>
      </c>
      <c r="BK24" s="7">
        <v>0</v>
      </c>
      <c r="BL24" s="7">
        <v>5800</v>
      </c>
      <c r="BM24" s="7">
        <v>0</v>
      </c>
      <c r="BN24" s="7">
        <v>0</v>
      </c>
      <c r="BO24" s="59">
        <v>3</v>
      </c>
      <c r="BP24" s="7" t="s">
        <v>146</v>
      </c>
      <c r="BQ24" s="44" t="s">
        <v>150</v>
      </c>
      <c r="BR24" s="7">
        <v>9</v>
      </c>
      <c r="BS24" s="44">
        <v>0.78888888888888886</v>
      </c>
      <c r="BT24" s="45">
        <v>0</v>
      </c>
    </row>
    <row r="25" spans="1:72" x14ac:dyDescent="0.25">
      <c r="A25">
        <v>685</v>
      </c>
      <c r="B25" t="s">
        <v>139</v>
      </c>
      <c r="C25" s="16">
        <v>3000</v>
      </c>
      <c r="D25" s="7">
        <v>3600</v>
      </c>
      <c r="E25" s="7">
        <v>0</v>
      </c>
      <c r="F25" s="7">
        <v>0</v>
      </c>
      <c r="G25" s="59">
        <v>2</v>
      </c>
      <c r="H25" s="7" t="s">
        <v>157</v>
      </c>
      <c r="I25" s="44" t="s">
        <v>160</v>
      </c>
      <c r="J25" s="7">
        <v>6</v>
      </c>
      <c r="K25" s="44">
        <v>0.73611111111111116</v>
      </c>
      <c r="L25" s="3">
        <v>0</v>
      </c>
      <c r="M25" s="7">
        <v>0</v>
      </c>
      <c r="N25" s="7">
        <v>4700</v>
      </c>
      <c r="O25" s="59">
        <v>0</v>
      </c>
      <c r="P25" s="7">
        <v>0</v>
      </c>
      <c r="Q25" s="44">
        <v>1</v>
      </c>
      <c r="R25" s="44" t="s">
        <v>157</v>
      </c>
      <c r="S25" s="44" t="s">
        <v>160</v>
      </c>
      <c r="T25" s="7">
        <v>12</v>
      </c>
      <c r="U25" s="44">
        <v>0.83263888888888893</v>
      </c>
      <c r="V25" s="3">
        <v>0</v>
      </c>
      <c r="W25" s="59">
        <v>0</v>
      </c>
      <c r="X25" s="59">
        <v>0</v>
      </c>
      <c r="Y25" s="59">
        <v>0</v>
      </c>
      <c r="Z25" s="7">
        <v>0</v>
      </c>
      <c r="AA25" s="7">
        <v>0</v>
      </c>
      <c r="AB25" s="7"/>
      <c r="AC25" s="44"/>
      <c r="AD25" s="7">
        <v>0</v>
      </c>
      <c r="AE25" s="44">
        <v>0.45833333333333331</v>
      </c>
      <c r="AF25" s="3">
        <v>0</v>
      </c>
      <c r="AG25" s="7">
        <v>0</v>
      </c>
      <c r="AH25" s="7">
        <v>0</v>
      </c>
      <c r="AI25" s="59">
        <v>0</v>
      </c>
      <c r="AJ25" s="59">
        <v>0</v>
      </c>
      <c r="AK25" s="59">
        <v>0</v>
      </c>
      <c r="AL25" s="59"/>
      <c r="AM25" s="59"/>
      <c r="AN25" s="59">
        <v>0</v>
      </c>
      <c r="AO25" s="59">
        <v>0.45833333333333331</v>
      </c>
      <c r="AP25" s="3">
        <v>0</v>
      </c>
      <c r="AQ25" s="7">
        <v>0</v>
      </c>
      <c r="AR25" s="7">
        <v>0</v>
      </c>
      <c r="AS25" s="59">
        <v>0</v>
      </c>
      <c r="AT25" s="7">
        <v>0</v>
      </c>
      <c r="AU25" s="59">
        <v>0</v>
      </c>
      <c r="AV25" s="7"/>
      <c r="AW25" s="44"/>
      <c r="AX25" s="7">
        <v>0</v>
      </c>
      <c r="AY25" s="44">
        <v>0.45833333333333331</v>
      </c>
      <c r="AZ25" s="3">
        <v>0</v>
      </c>
      <c r="BA25" s="7">
        <v>0</v>
      </c>
      <c r="BB25" s="7">
        <v>0</v>
      </c>
      <c r="BC25" s="59">
        <v>0</v>
      </c>
      <c r="BD25" s="7">
        <v>0</v>
      </c>
      <c r="BE25" s="59">
        <v>0</v>
      </c>
      <c r="BF25" s="7"/>
      <c r="BG25" s="44"/>
      <c r="BH25" s="7">
        <v>0</v>
      </c>
      <c r="BI25" s="44">
        <v>0.45833333333333331</v>
      </c>
      <c r="BJ25" s="3">
        <v>0</v>
      </c>
      <c r="BK25" s="7">
        <v>0</v>
      </c>
      <c r="BL25" s="7">
        <v>0</v>
      </c>
      <c r="BM25" s="7">
        <v>0</v>
      </c>
      <c r="BN25" s="7">
        <v>0</v>
      </c>
      <c r="BO25" s="59">
        <v>0</v>
      </c>
      <c r="BP25" s="7"/>
      <c r="BQ25" s="44"/>
      <c r="BR25" s="7">
        <v>0</v>
      </c>
      <c r="BS25" s="44">
        <v>0.45833333333333331</v>
      </c>
      <c r="BT25" s="45">
        <v>0</v>
      </c>
    </row>
    <row r="26" spans="1:72" x14ac:dyDescent="0.25">
      <c r="A26">
        <v>691</v>
      </c>
      <c r="B26" t="s">
        <v>140</v>
      </c>
      <c r="C26" s="16">
        <v>6500</v>
      </c>
      <c r="D26" s="7">
        <v>0</v>
      </c>
      <c r="E26" s="7">
        <v>0</v>
      </c>
      <c r="F26" s="7">
        <v>3400</v>
      </c>
      <c r="G26" s="59">
        <v>0</v>
      </c>
      <c r="H26" s="7"/>
      <c r="I26" s="44"/>
      <c r="J26" s="7">
        <v>0</v>
      </c>
      <c r="K26" s="44">
        <v>0.45833333333333331</v>
      </c>
      <c r="L26" s="3">
        <v>0</v>
      </c>
      <c r="M26" s="7">
        <v>3400</v>
      </c>
      <c r="N26" s="7">
        <v>1200</v>
      </c>
      <c r="O26" s="59">
        <v>0</v>
      </c>
      <c r="P26" s="7">
        <v>0</v>
      </c>
      <c r="Q26" s="44">
        <v>1</v>
      </c>
      <c r="R26" s="44" t="s">
        <v>159</v>
      </c>
      <c r="S26" s="44" t="s">
        <v>157</v>
      </c>
      <c r="T26" s="7">
        <v>10</v>
      </c>
      <c r="U26" s="44">
        <v>0.80902777777777779</v>
      </c>
      <c r="V26" s="3">
        <v>0</v>
      </c>
      <c r="W26" s="59">
        <v>0</v>
      </c>
      <c r="X26" s="59">
        <v>0</v>
      </c>
      <c r="Y26" s="59">
        <v>0</v>
      </c>
      <c r="Z26" s="7">
        <v>0</v>
      </c>
      <c r="AA26" s="7">
        <v>0</v>
      </c>
      <c r="AB26" s="7"/>
      <c r="AC26" s="44"/>
      <c r="AD26" s="7">
        <v>0</v>
      </c>
      <c r="AE26" s="44">
        <v>0.45833333333333331</v>
      </c>
      <c r="AF26" s="3">
        <v>0</v>
      </c>
      <c r="AG26" s="7">
        <v>0</v>
      </c>
      <c r="AH26" s="7">
        <v>0</v>
      </c>
      <c r="AI26" s="59">
        <v>0</v>
      </c>
      <c r="AJ26" s="59">
        <v>0</v>
      </c>
      <c r="AK26" s="59">
        <v>0</v>
      </c>
      <c r="AL26" s="59"/>
      <c r="AM26" s="59"/>
      <c r="AN26" s="59">
        <v>0</v>
      </c>
      <c r="AO26" s="59">
        <v>0.45833333333333331</v>
      </c>
      <c r="AP26" s="3">
        <v>0</v>
      </c>
      <c r="AQ26" s="7">
        <v>0</v>
      </c>
      <c r="AR26" s="7">
        <v>0</v>
      </c>
      <c r="AS26" s="59">
        <v>0</v>
      </c>
      <c r="AT26" s="7">
        <v>0</v>
      </c>
      <c r="AU26" s="59">
        <v>0</v>
      </c>
      <c r="AV26" s="7"/>
      <c r="AW26" s="44"/>
      <c r="AX26" s="7">
        <v>0</v>
      </c>
      <c r="AY26" s="44">
        <v>0.45833333333333331</v>
      </c>
      <c r="AZ26" s="3">
        <v>0</v>
      </c>
      <c r="BA26" s="7">
        <v>0</v>
      </c>
      <c r="BB26" s="7">
        <v>0</v>
      </c>
      <c r="BC26" s="59">
        <v>0</v>
      </c>
      <c r="BD26" s="7">
        <v>0</v>
      </c>
      <c r="BE26" s="59">
        <v>0</v>
      </c>
      <c r="BF26" s="7"/>
      <c r="BG26" s="44"/>
      <c r="BH26" s="7">
        <v>0</v>
      </c>
      <c r="BI26" s="44">
        <v>0.45833333333333331</v>
      </c>
      <c r="BJ26" s="3">
        <v>0</v>
      </c>
      <c r="BK26" s="7">
        <v>0</v>
      </c>
      <c r="BL26" s="7">
        <v>0</v>
      </c>
      <c r="BM26" s="7">
        <v>0</v>
      </c>
      <c r="BN26" s="7">
        <v>0</v>
      </c>
      <c r="BO26" s="59">
        <v>0</v>
      </c>
      <c r="BP26" s="7"/>
      <c r="BQ26" s="44"/>
      <c r="BR26" s="7">
        <v>0</v>
      </c>
      <c r="BS26" s="44">
        <v>0.45833333333333331</v>
      </c>
      <c r="BT26" s="45">
        <v>0</v>
      </c>
    </row>
    <row r="27" spans="1:72" x14ac:dyDescent="0.25">
      <c r="A27">
        <v>706</v>
      </c>
      <c r="B27" t="s">
        <v>141</v>
      </c>
      <c r="C27" s="16">
        <v>1200</v>
      </c>
      <c r="D27" s="7">
        <v>6300</v>
      </c>
      <c r="E27" s="7">
        <v>0</v>
      </c>
      <c r="F27" s="7">
        <v>0</v>
      </c>
      <c r="G27" s="59">
        <v>2</v>
      </c>
      <c r="H27" s="7" t="s">
        <v>160</v>
      </c>
      <c r="I27" s="44" t="s">
        <v>148</v>
      </c>
      <c r="J27" s="7">
        <v>8</v>
      </c>
      <c r="K27" s="44">
        <v>0.75902777777777775</v>
      </c>
      <c r="L27" s="3">
        <v>0</v>
      </c>
      <c r="M27" s="7">
        <v>0</v>
      </c>
      <c r="N27" s="7">
        <v>3000</v>
      </c>
      <c r="O27" s="59">
        <v>0</v>
      </c>
      <c r="P27" s="7">
        <v>0</v>
      </c>
      <c r="Q27" s="44">
        <v>1</v>
      </c>
      <c r="R27" s="44" t="s">
        <v>160</v>
      </c>
      <c r="S27" s="44" t="s">
        <v>213</v>
      </c>
      <c r="T27" s="7">
        <v>14</v>
      </c>
      <c r="U27" s="44">
        <v>0.85555555555555562</v>
      </c>
      <c r="V27" s="3">
        <v>0</v>
      </c>
      <c r="W27" s="59">
        <v>0</v>
      </c>
      <c r="X27" s="59">
        <v>8600</v>
      </c>
      <c r="Y27" s="59">
        <v>0</v>
      </c>
      <c r="Z27" s="7">
        <v>0</v>
      </c>
      <c r="AA27" s="7">
        <v>3</v>
      </c>
      <c r="AB27" s="7" t="s">
        <v>148</v>
      </c>
      <c r="AC27" s="44" t="s">
        <v>154</v>
      </c>
      <c r="AD27" s="7">
        <v>7</v>
      </c>
      <c r="AE27" s="44">
        <v>0.76388888888888884</v>
      </c>
      <c r="AF27" s="3">
        <v>0</v>
      </c>
      <c r="AG27" s="7">
        <v>0</v>
      </c>
      <c r="AH27" s="7">
        <v>2700</v>
      </c>
      <c r="AI27" s="59">
        <v>0</v>
      </c>
      <c r="AJ27" s="59">
        <v>0</v>
      </c>
      <c r="AK27" s="59">
        <v>3</v>
      </c>
      <c r="AL27" s="59" t="s">
        <v>148</v>
      </c>
      <c r="AM27" s="59" t="s">
        <v>146</v>
      </c>
      <c r="AN27" s="59">
        <v>7</v>
      </c>
      <c r="AO27" s="59">
        <v>0.76388888888888884</v>
      </c>
      <c r="AP27" s="3">
        <v>0</v>
      </c>
      <c r="AQ27" s="7">
        <v>0</v>
      </c>
      <c r="AR27" s="7">
        <v>7900</v>
      </c>
      <c r="AS27" s="59">
        <v>0</v>
      </c>
      <c r="AT27" s="7">
        <v>0</v>
      </c>
      <c r="AU27" s="59">
        <v>3</v>
      </c>
      <c r="AV27" s="7" t="s">
        <v>148</v>
      </c>
      <c r="AW27" s="44" t="s">
        <v>146</v>
      </c>
      <c r="AX27" s="7">
        <v>7</v>
      </c>
      <c r="AY27" s="44">
        <v>0.76388888888888884</v>
      </c>
      <c r="AZ27" s="3">
        <v>0</v>
      </c>
      <c r="BA27" s="7">
        <v>0</v>
      </c>
      <c r="BB27" s="7">
        <v>3000</v>
      </c>
      <c r="BC27" s="59">
        <v>0</v>
      </c>
      <c r="BD27" s="7">
        <v>0</v>
      </c>
      <c r="BE27" s="59">
        <v>3</v>
      </c>
      <c r="BF27" s="7" t="s">
        <v>148</v>
      </c>
      <c r="BG27" s="44" t="s">
        <v>146</v>
      </c>
      <c r="BH27" s="7">
        <v>7</v>
      </c>
      <c r="BI27" s="44">
        <v>0.76388888888888884</v>
      </c>
      <c r="BJ27" s="3">
        <v>0</v>
      </c>
      <c r="BK27" s="7">
        <v>0</v>
      </c>
      <c r="BL27" s="7">
        <v>2000</v>
      </c>
      <c r="BM27" s="7">
        <v>0</v>
      </c>
      <c r="BN27" s="7">
        <v>0</v>
      </c>
      <c r="BO27" s="59">
        <v>3</v>
      </c>
      <c r="BP27" s="7" t="s">
        <v>148</v>
      </c>
      <c r="BQ27" s="44" t="s">
        <v>146</v>
      </c>
      <c r="BR27" s="7">
        <v>7</v>
      </c>
      <c r="BS27" s="44">
        <v>0.76388888888888884</v>
      </c>
      <c r="BT27" s="45">
        <v>0</v>
      </c>
    </row>
    <row r="28" spans="1:72" x14ac:dyDescent="0.25">
      <c r="A28">
        <v>713</v>
      </c>
      <c r="B28" t="s">
        <v>142</v>
      </c>
      <c r="C28" s="16">
        <v>5000</v>
      </c>
      <c r="D28" s="7">
        <v>800</v>
      </c>
      <c r="E28" s="7">
        <v>0</v>
      </c>
      <c r="F28" s="7">
        <v>0</v>
      </c>
      <c r="G28" s="59">
        <v>1</v>
      </c>
      <c r="H28" s="7" t="s">
        <v>134</v>
      </c>
      <c r="I28" s="44" t="s">
        <v>132</v>
      </c>
      <c r="J28" s="7">
        <v>8</v>
      </c>
      <c r="K28" s="44">
        <v>0.84166666666666667</v>
      </c>
      <c r="L28" s="3">
        <v>0</v>
      </c>
      <c r="M28" s="7">
        <v>0</v>
      </c>
      <c r="N28" s="7">
        <v>9000</v>
      </c>
      <c r="O28" s="59">
        <v>0</v>
      </c>
      <c r="P28" s="7">
        <v>0</v>
      </c>
      <c r="Q28" s="44">
        <v>2</v>
      </c>
      <c r="R28" s="44" t="s">
        <v>134</v>
      </c>
      <c r="S28" s="44" t="s">
        <v>154</v>
      </c>
      <c r="T28" s="7">
        <v>8</v>
      </c>
      <c r="U28" s="44">
        <v>0.84583333333333333</v>
      </c>
      <c r="V28" s="3">
        <v>0</v>
      </c>
      <c r="W28" s="59">
        <v>0</v>
      </c>
      <c r="X28" s="59">
        <v>8600</v>
      </c>
      <c r="Y28" s="59">
        <v>0</v>
      </c>
      <c r="Z28" s="7">
        <v>0</v>
      </c>
      <c r="AA28" s="7">
        <v>2</v>
      </c>
      <c r="AB28" s="7" t="s">
        <v>134</v>
      </c>
      <c r="AC28" s="44" t="s">
        <v>213</v>
      </c>
      <c r="AD28" s="7">
        <v>9</v>
      </c>
      <c r="AE28" s="44">
        <v>0.8520833333333333</v>
      </c>
      <c r="AF28" s="3">
        <v>0</v>
      </c>
      <c r="AG28" s="7">
        <v>0</v>
      </c>
      <c r="AH28" s="7">
        <v>9100</v>
      </c>
      <c r="AI28" s="59">
        <v>0</v>
      </c>
      <c r="AJ28" s="59">
        <v>0</v>
      </c>
      <c r="AK28" s="59">
        <v>3</v>
      </c>
      <c r="AL28" s="59" t="s">
        <v>158</v>
      </c>
      <c r="AM28" s="59" t="s">
        <v>159</v>
      </c>
      <c r="AN28" s="59">
        <v>13</v>
      </c>
      <c r="AO28" s="59">
        <v>0.83819444444444446</v>
      </c>
      <c r="AP28" s="3">
        <v>0</v>
      </c>
      <c r="AQ28" s="7">
        <v>0</v>
      </c>
      <c r="AR28" s="7">
        <v>5000</v>
      </c>
      <c r="AS28" s="59">
        <v>0</v>
      </c>
      <c r="AT28" s="7">
        <v>0</v>
      </c>
      <c r="AU28" s="59">
        <v>3</v>
      </c>
      <c r="AV28" s="7" t="s">
        <v>158</v>
      </c>
      <c r="AW28" s="44" t="s">
        <v>159</v>
      </c>
      <c r="AX28" s="7">
        <v>13</v>
      </c>
      <c r="AY28" s="44">
        <v>0.83819444444444446</v>
      </c>
      <c r="AZ28" s="3">
        <v>0</v>
      </c>
      <c r="BA28" s="7">
        <v>0</v>
      </c>
      <c r="BB28" s="7">
        <v>3800</v>
      </c>
      <c r="BC28" s="59">
        <v>0</v>
      </c>
      <c r="BD28" s="7">
        <v>0</v>
      </c>
      <c r="BE28" s="59">
        <v>3</v>
      </c>
      <c r="BF28" s="7" t="s">
        <v>158</v>
      </c>
      <c r="BG28" s="44" t="s">
        <v>159</v>
      </c>
      <c r="BH28" s="7">
        <v>13</v>
      </c>
      <c r="BI28" s="44">
        <v>0.83819444444444446</v>
      </c>
      <c r="BJ28" s="3">
        <v>0</v>
      </c>
      <c r="BK28" s="7">
        <v>0</v>
      </c>
      <c r="BL28" s="7">
        <v>6700</v>
      </c>
      <c r="BM28" s="7">
        <v>0</v>
      </c>
      <c r="BN28" s="7">
        <v>0</v>
      </c>
      <c r="BO28" s="59">
        <v>3</v>
      </c>
      <c r="BP28" s="7" t="s">
        <v>158</v>
      </c>
      <c r="BQ28" s="44" t="s">
        <v>159</v>
      </c>
      <c r="BR28" s="7">
        <v>13</v>
      </c>
      <c r="BS28" s="44">
        <v>0.83819444444444446</v>
      </c>
      <c r="BT28" s="45">
        <v>0</v>
      </c>
    </row>
    <row r="29" spans="1:72" x14ac:dyDescent="0.25">
      <c r="A29">
        <v>718</v>
      </c>
      <c r="B29" t="s">
        <v>143</v>
      </c>
      <c r="C29" s="16">
        <v>8000</v>
      </c>
      <c r="D29" s="7">
        <v>1000</v>
      </c>
      <c r="E29" s="7">
        <v>0</v>
      </c>
      <c r="F29" s="7">
        <v>0</v>
      </c>
      <c r="G29" s="59">
        <v>3</v>
      </c>
      <c r="H29" s="7" t="s">
        <v>161</v>
      </c>
      <c r="I29" s="44" t="s">
        <v>162</v>
      </c>
      <c r="J29" s="7">
        <v>4</v>
      </c>
      <c r="K29" s="44">
        <v>0.50138888888888888</v>
      </c>
      <c r="L29" s="3">
        <v>0</v>
      </c>
      <c r="M29" s="7">
        <v>0</v>
      </c>
      <c r="N29" s="7">
        <v>4900</v>
      </c>
      <c r="O29" s="59">
        <v>0</v>
      </c>
      <c r="P29" s="7">
        <v>0</v>
      </c>
      <c r="Q29" s="44">
        <v>3</v>
      </c>
      <c r="R29" s="44" t="s">
        <v>132</v>
      </c>
      <c r="S29" s="44" t="s">
        <v>148</v>
      </c>
      <c r="T29" s="7">
        <v>5</v>
      </c>
      <c r="U29" s="44">
        <v>0.73958333333333337</v>
      </c>
      <c r="V29" s="3">
        <v>0</v>
      </c>
      <c r="W29" s="59">
        <v>0</v>
      </c>
      <c r="X29" s="59">
        <v>6400</v>
      </c>
      <c r="Y29" s="59">
        <v>0</v>
      </c>
      <c r="Z29" s="7">
        <v>0</v>
      </c>
      <c r="AA29" s="7">
        <v>3</v>
      </c>
      <c r="AB29" s="7" t="s">
        <v>132</v>
      </c>
      <c r="AC29" s="44" t="s">
        <v>148</v>
      </c>
      <c r="AD29" s="7">
        <v>5</v>
      </c>
      <c r="AE29" s="44">
        <v>0.73958333333333337</v>
      </c>
      <c r="AF29" s="3">
        <v>0</v>
      </c>
      <c r="AG29" s="7">
        <v>0</v>
      </c>
      <c r="AH29" s="7">
        <v>5400</v>
      </c>
      <c r="AI29" s="59">
        <v>0</v>
      </c>
      <c r="AJ29" s="59">
        <v>0</v>
      </c>
      <c r="AK29" s="59">
        <v>3</v>
      </c>
      <c r="AL29" s="59" t="s">
        <v>132</v>
      </c>
      <c r="AM29" s="59" t="s">
        <v>148</v>
      </c>
      <c r="AN29" s="59">
        <v>5</v>
      </c>
      <c r="AO29" s="59">
        <v>0.73958333333333337</v>
      </c>
      <c r="AP29" s="3">
        <v>0</v>
      </c>
      <c r="AQ29" s="7">
        <v>0</v>
      </c>
      <c r="AR29" s="7">
        <v>8300</v>
      </c>
      <c r="AS29" s="59">
        <v>0</v>
      </c>
      <c r="AT29" s="7">
        <v>0</v>
      </c>
      <c r="AU29" s="59">
        <v>3</v>
      </c>
      <c r="AV29" s="7" t="s">
        <v>132</v>
      </c>
      <c r="AW29" s="44" t="s">
        <v>148</v>
      </c>
      <c r="AX29" s="7">
        <v>5</v>
      </c>
      <c r="AY29" s="44">
        <v>0.73958333333333337</v>
      </c>
      <c r="AZ29" s="3">
        <v>0</v>
      </c>
      <c r="BA29" s="7">
        <v>0</v>
      </c>
      <c r="BB29" s="7">
        <v>4500</v>
      </c>
      <c r="BC29" s="59">
        <v>0</v>
      </c>
      <c r="BD29" s="7">
        <v>0</v>
      </c>
      <c r="BE29" s="59">
        <v>3</v>
      </c>
      <c r="BF29" s="7" t="s">
        <v>132</v>
      </c>
      <c r="BG29" s="44" t="s">
        <v>148</v>
      </c>
      <c r="BH29" s="7">
        <v>5</v>
      </c>
      <c r="BI29" s="44">
        <v>0.73958333333333337</v>
      </c>
      <c r="BJ29" s="3">
        <v>0</v>
      </c>
      <c r="BK29" s="7">
        <v>0</v>
      </c>
      <c r="BL29" s="7">
        <v>7800</v>
      </c>
      <c r="BM29" s="7">
        <v>0</v>
      </c>
      <c r="BN29" s="7">
        <v>0</v>
      </c>
      <c r="BO29" s="59">
        <v>3</v>
      </c>
      <c r="BP29" s="7" t="s">
        <v>132</v>
      </c>
      <c r="BQ29" s="44" t="s">
        <v>148</v>
      </c>
      <c r="BR29" s="7">
        <v>5</v>
      </c>
      <c r="BS29" s="44">
        <v>0.73958333333333337</v>
      </c>
      <c r="BT29" s="45">
        <v>0</v>
      </c>
    </row>
    <row r="30" spans="1:72" x14ac:dyDescent="0.25">
      <c r="A30">
        <v>731</v>
      </c>
      <c r="B30" t="s">
        <v>144</v>
      </c>
      <c r="C30" s="16">
        <v>12500</v>
      </c>
      <c r="D30" s="7">
        <v>0</v>
      </c>
      <c r="E30" s="7">
        <v>0</v>
      </c>
      <c r="F30" s="7">
        <v>6100</v>
      </c>
      <c r="G30" s="59">
        <v>0</v>
      </c>
      <c r="H30" s="7"/>
      <c r="I30" s="44"/>
      <c r="J30" s="7">
        <v>0</v>
      </c>
      <c r="K30" s="44">
        <v>0.45833333333333331</v>
      </c>
      <c r="L30" s="3">
        <v>0</v>
      </c>
      <c r="M30" s="7">
        <v>6100</v>
      </c>
      <c r="N30" s="7">
        <v>0</v>
      </c>
      <c r="O30" s="59">
        <v>0</v>
      </c>
      <c r="P30" s="7">
        <v>2600</v>
      </c>
      <c r="Q30" s="44">
        <v>0</v>
      </c>
      <c r="R30" s="44"/>
      <c r="S30" s="44"/>
      <c r="T30" s="7">
        <v>0</v>
      </c>
      <c r="U30" s="44">
        <v>0.45833333333333331</v>
      </c>
      <c r="V30" s="3">
        <v>0</v>
      </c>
      <c r="W30" s="59">
        <v>2600</v>
      </c>
      <c r="X30" s="59">
        <v>4100</v>
      </c>
      <c r="Y30" s="59">
        <v>0</v>
      </c>
      <c r="Z30" s="7">
        <v>0</v>
      </c>
      <c r="AA30" s="7">
        <v>1</v>
      </c>
      <c r="AB30" s="7" t="s">
        <v>120</v>
      </c>
      <c r="AC30" s="44" t="s">
        <v>166</v>
      </c>
      <c r="AD30" s="7">
        <v>5</v>
      </c>
      <c r="AE30" s="44">
        <v>0.74791666666666667</v>
      </c>
      <c r="AF30" s="3">
        <v>0</v>
      </c>
      <c r="AG30" s="7">
        <v>0</v>
      </c>
      <c r="AH30" s="7">
        <v>7600</v>
      </c>
      <c r="AI30" s="59">
        <v>0</v>
      </c>
      <c r="AJ30" s="59">
        <v>0</v>
      </c>
      <c r="AK30" s="59">
        <v>1</v>
      </c>
      <c r="AL30" s="59" t="s">
        <v>120</v>
      </c>
      <c r="AM30" s="59" t="s">
        <v>166</v>
      </c>
      <c r="AN30" s="59">
        <v>5</v>
      </c>
      <c r="AO30" s="59">
        <v>0.74791666666666667</v>
      </c>
      <c r="AP30" s="3">
        <v>0</v>
      </c>
      <c r="AQ30" s="7">
        <v>0</v>
      </c>
      <c r="AR30" s="7">
        <v>9300</v>
      </c>
      <c r="AS30" s="59">
        <v>0</v>
      </c>
      <c r="AT30" s="7">
        <v>0</v>
      </c>
      <c r="AU30" s="59">
        <v>1</v>
      </c>
      <c r="AV30" s="7" t="s">
        <v>120</v>
      </c>
      <c r="AW30" s="44" t="s">
        <v>166</v>
      </c>
      <c r="AX30" s="7">
        <v>5</v>
      </c>
      <c r="AY30" s="44">
        <v>0.74791666666666667</v>
      </c>
      <c r="AZ30" s="3">
        <v>0</v>
      </c>
      <c r="BA30" s="7">
        <v>0</v>
      </c>
      <c r="BB30" s="7">
        <v>2100</v>
      </c>
      <c r="BC30" s="59">
        <v>0</v>
      </c>
      <c r="BD30" s="7">
        <v>0</v>
      </c>
      <c r="BE30" s="59">
        <v>1</v>
      </c>
      <c r="BF30" s="7" t="s">
        <v>120</v>
      </c>
      <c r="BG30" s="44" t="s">
        <v>166</v>
      </c>
      <c r="BH30" s="7">
        <v>5</v>
      </c>
      <c r="BI30" s="44">
        <v>0.74791666666666667</v>
      </c>
      <c r="BJ30" s="3">
        <v>0</v>
      </c>
      <c r="BK30" s="7">
        <v>0</v>
      </c>
      <c r="BL30" s="7">
        <v>5600</v>
      </c>
      <c r="BM30" s="7">
        <v>0</v>
      </c>
      <c r="BN30" s="7">
        <v>0</v>
      </c>
      <c r="BO30" s="59">
        <v>1</v>
      </c>
      <c r="BP30" s="7" t="s">
        <v>120</v>
      </c>
      <c r="BQ30" s="44" t="s">
        <v>166</v>
      </c>
      <c r="BR30" s="7">
        <v>5</v>
      </c>
      <c r="BS30" s="44">
        <v>0.74791666666666667</v>
      </c>
      <c r="BT30" s="45">
        <v>0</v>
      </c>
    </row>
    <row r="31" spans="1:72" x14ac:dyDescent="0.25">
      <c r="A31">
        <v>743</v>
      </c>
      <c r="B31" t="s">
        <v>145</v>
      </c>
      <c r="C31" s="16">
        <v>12500</v>
      </c>
      <c r="D31" s="7">
        <v>0</v>
      </c>
      <c r="E31" s="7">
        <v>0</v>
      </c>
      <c r="F31" s="7">
        <v>6400</v>
      </c>
      <c r="G31" s="59">
        <v>0</v>
      </c>
      <c r="H31" s="7"/>
      <c r="I31" s="44"/>
      <c r="J31" s="7">
        <v>0</v>
      </c>
      <c r="K31" s="44">
        <v>0.45833333333333331</v>
      </c>
      <c r="L31" s="3">
        <v>0</v>
      </c>
      <c r="M31" s="7">
        <v>6400</v>
      </c>
      <c r="N31" s="7">
        <v>0</v>
      </c>
      <c r="O31" s="59">
        <v>0</v>
      </c>
      <c r="P31" s="7">
        <v>6400</v>
      </c>
      <c r="Q31" s="44">
        <v>0</v>
      </c>
      <c r="R31" s="44"/>
      <c r="S31" s="44"/>
      <c r="T31" s="7">
        <v>0</v>
      </c>
      <c r="U31" s="44">
        <v>0.45833333333333331</v>
      </c>
      <c r="V31" s="3">
        <v>0</v>
      </c>
      <c r="W31" s="59">
        <v>6400</v>
      </c>
      <c r="X31" s="59">
        <v>0</v>
      </c>
      <c r="Y31" s="59">
        <v>0</v>
      </c>
      <c r="Z31" s="7">
        <v>2100</v>
      </c>
      <c r="AA31" s="7">
        <v>0</v>
      </c>
      <c r="AB31" s="7"/>
      <c r="AC31" s="44"/>
      <c r="AD31" s="7">
        <v>0</v>
      </c>
      <c r="AE31" s="44">
        <v>0.45833333333333331</v>
      </c>
      <c r="AF31" s="3">
        <v>0</v>
      </c>
      <c r="AG31" s="7">
        <v>2100</v>
      </c>
      <c r="AH31" s="7">
        <v>0</v>
      </c>
      <c r="AI31" s="59">
        <v>0</v>
      </c>
      <c r="AJ31" s="59">
        <v>0</v>
      </c>
      <c r="AK31" s="59">
        <v>0</v>
      </c>
      <c r="AL31" s="59"/>
      <c r="AM31" s="59"/>
      <c r="AN31" s="59">
        <v>0</v>
      </c>
      <c r="AO31" s="59">
        <v>0.45833333333333331</v>
      </c>
      <c r="AP31" s="3">
        <v>0</v>
      </c>
      <c r="AQ31" s="7">
        <v>0</v>
      </c>
      <c r="AR31" s="7">
        <v>0</v>
      </c>
      <c r="AS31" s="59">
        <v>0</v>
      </c>
      <c r="AT31" s="7">
        <v>0</v>
      </c>
      <c r="AU31" s="59">
        <v>0</v>
      </c>
      <c r="AV31" s="7"/>
      <c r="AW31" s="44"/>
      <c r="AX31" s="7">
        <v>0</v>
      </c>
      <c r="AY31" s="44">
        <v>0.45833333333333331</v>
      </c>
      <c r="AZ31" s="3">
        <v>0</v>
      </c>
      <c r="BA31" s="7">
        <v>0</v>
      </c>
      <c r="BB31" s="7">
        <v>0</v>
      </c>
      <c r="BC31" s="59">
        <v>0</v>
      </c>
      <c r="BD31" s="7">
        <v>0</v>
      </c>
      <c r="BE31" s="59">
        <v>0</v>
      </c>
      <c r="BF31" s="7"/>
      <c r="BG31" s="44"/>
      <c r="BH31" s="7">
        <v>0</v>
      </c>
      <c r="BI31" s="44">
        <v>0.45833333333333331</v>
      </c>
      <c r="BJ31" s="3">
        <v>0</v>
      </c>
      <c r="BK31" s="7">
        <v>0</v>
      </c>
      <c r="BL31" s="7">
        <v>0</v>
      </c>
      <c r="BM31" s="7">
        <v>0</v>
      </c>
      <c r="BN31" s="7">
        <v>0</v>
      </c>
      <c r="BO31" s="59">
        <v>0</v>
      </c>
      <c r="BP31" s="7"/>
      <c r="BQ31" s="44"/>
      <c r="BR31" s="7">
        <v>0</v>
      </c>
      <c r="BS31" s="44">
        <v>0.45833333333333331</v>
      </c>
      <c r="BT31" s="45">
        <v>0</v>
      </c>
    </row>
    <row r="32" spans="1:72" x14ac:dyDescent="0.25">
      <c r="A32">
        <v>760</v>
      </c>
      <c r="B32" t="s">
        <v>146</v>
      </c>
      <c r="C32" s="16">
        <v>12500</v>
      </c>
      <c r="D32" s="7">
        <v>0</v>
      </c>
      <c r="E32" s="7">
        <v>0</v>
      </c>
      <c r="F32" s="7">
        <v>9300</v>
      </c>
      <c r="G32" s="59">
        <v>0</v>
      </c>
      <c r="H32" s="7"/>
      <c r="I32" s="44"/>
      <c r="J32" s="7">
        <v>0</v>
      </c>
      <c r="K32" s="44">
        <v>0.45833333333333331</v>
      </c>
      <c r="L32" s="3">
        <v>0</v>
      </c>
      <c r="M32" s="7">
        <v>9300</v>
      </c>
      <c r="N32" s="7">
        <v>0</v>
      </c>
      <c r="O32" s="59">
        <v>0</v>
      </c>
      <c r="P32" s="7">
        <v>4600</v>
      </c>
      <c r="Q32" s="44">
        <v>0</v>
      </c>
      <c r="R32" s="44"/>
      <c r="S32" s="44"/>
      <c r="T32" s="7">
        <v>0</v>
      </c>
      <c r="U32" s="44">
        <v>0.45833333333333331</v>
      </c>
      <c r="V32" s="3">
        <v>0</v>
      </c>
      <c r="W32" s="59">
        <v>4600</v>
      </c>
      <c r="X32" s="59">
        <v>0</v>
      </c>
      <c r="Y32" s="59">
        <v>0</v>
      </c>
      <c r="Z32" s="7">
        <v>1700</v>
      </c>
      <c r="AA32" s="7">
        <v>0</v>
      </c>
      <c r="AB32" s="7"/>
      <c r="AC32" s="44"/>
      <c r="AD32" s="7">
        <v>0</v>
      </c>
      <c r="AE32" s="44">
        <v>0.45833333333333331</v>
      </c>
      <c r="AF32" s="3">
        <v>0</v>
      </c>
      <c r="AG32" s="7">
        <v>1700</v>
      </c>
      <c r="AH32" s="7">
        <v>3400</v>
      </c>
      <c r="AI32" s="59">
        <v>0</v>
      </c>
      <c r="AJ32" s="59">
        <v>0</v>
      </c>
      <c r="AK32" s="59">
        <v>3</v>
      </c>
      <c r="AL32" s="59" t="s">
        <v>141</v>
      </c>
      <c r="AM32" s="59" t="s">
        <v>138</v>
      </c>
      <c r="AN32" s="59">
        <v>8</v>
      </c>
      <c r="AO32" s="59">
        <v>0.77638888888888891</v>
      </c>
      <c r="AP32" s="3">
        <v>0</v>
      </c>
      <c r="AQ32" s="7">
        <v>0</v>
      </c>
      <c r="AR32" s="7">
        <v>9000</v>
      </c>
      <c r="AS32" s="59">
        <v>0</v>
      </c>
      <c r="AT32" s="7">
        <v>0</v>
      </c>
      <c r="AU32" s="59">
        <v>3</v>
      </c>
      <c r="AV32" s="7" t="s">
        <v>141</v>
      </c>
      <c r="AW32" s="44" t="s">
        <v>138</v>
      </c>
      <c r="AX32" s="7">
        <v>8</v>
      </c>
      <c r="AY32" s="44">
        <v>0.77638888888888891</v>
      </c>
      <c r="AZ32" s="3">
        <v>0</v>
      </c>
      <c r="BA32" s="7">
        <v>0</v>
      </c>
      <c r="BB32" s="7">
        <v>5700</v>
      </c>
      <c r="BC32" s="59">
        <v>0</v>
      </c>
      <c r="BD32" s="7">
        <v>0</v>
      </c>
      <c r="BE32" s="59">
        <v>3</v>
      </c>
      <c r="BF32" s="7" t="s">
        <v>141</v>
      </c>
      <c r="BG32" s="44" t="s">
        <v>138</v>
      </c>
      <c r="BH32" s="7">
        <v>8</v>
      </c>
      <c r="BI32" s="44">
        <v>0.77638888888888891</v>
      </c>
      <c r="BJ32" s="3">
        <v>0</v>
      </c>
      <c r="BK32" s="7">
        <v>0</v>
      </c>
      <c r="BL32" s="7">
        <v>2300</v>
      </c>
      <c r="BM32" s="7">
        <v>0</v>
      </c>
      <c r="BN32" s="7">
        <v>0</v>
      </c>
      <c r="BO32" s="59">
        <v>3</v>
      </c>
      <c r="BP32" s="7" t="s">
        <v>141</v>
      </c>
      <c r="BQ32" s="44" t="s">
        <v>138</v>
      </c>
      <c r="BR32" s="7">
        <v>8</v>
      </c>
      <c r="BS32" s="44">
        <v>0.77638888888888891</v>
      </c>
      <c r="BT32" s="45">
        <v>0</v>
      </c>
    </row>
    <row r="33" spans="1:72" x14ac:dyDescent="0.25">
      <c r="A33">
        <v>765</v>
      </c>
      <c r="B33" t="s">
        <v>147</v>
      </c>
      <c r="C33" s="16">
        <v>12500</v>
      </c>
      <c r="D33" s="7">
        <v>0</v>
      </c>
      <c r="E33" s="7">
        <v>0</v>
      </c>
      <c r="F33" s="7">
        <v>3500</v>
      </c>
      <c r="G33" s="59">
        <v>0</v>
      </c>
      <c r="H33" s="7"/>
      <c r="I33" s="44"/>
      <c r="J33" s="7">
        <v>0</v>
      </c>
      <c r="K33" s="44">
        <v>0.45833333333333331</v>
      </c>
      <c r="L33" s="3">
        <v>0</v>
      </c>
      <c r="M33" s="7">
        <v>3500</v>
      </c>
      <c r="N33" s="7">
        <v>100</v>
      </c>
      <c r="O33" s="59">
        <v>0</v>
      </c>
      <c r="P33" s="7">
        <v>0</v>
      </c>
      <c r="Q33" s="44">
        <v>1</v>
      </c>
      <c r="R33" s="44" t="s">
        <v>164</v>
      </c>
      <c r="S33" s="44" t="s">
        <v>159</v>
      </c>
      <c r="T33" s="7">
        <v>8</v>
      </c>
      <c r="U33" s="44">
        <v>0.78055555555555556</v>
      </c>
      <c r="V33" s="3">
        <v>0</v>
      </c>
      <c r="W33" s="59">
        <v>0</v>
      </c>
      <c r="X33" s="59">
        <v>9400</v>
      </c>
      <c r="Y33" s="59">
        <v>0</v>
      </c>
      <c r="Z33" s="7">
        <v>0</v>
      </c>
      <c r="AA33" s="7">
        <v>1</v>
      </c>
      <c r="AB33" s="7" t="s">
        <v>164</v>
      </c>
      <c r="AC33" s="44" t="s">
        <v>152</v>
      </c>
      <c r="AD33" s="7">
        <v>11</v>
      </c>
      <c r="AE33" s="44">
        <v>0.84027777777777779</v>
      </c>
      <c r="AF33" s="3">
        <v>0</v>
      </c>
      <c r="AG33" s="7">
        <v>0</v>
      </c>
      <c r="AH33" s="7">
        <v>9400</v>
      </c>
      <c r="AI33" s="59">
        <v>0</v>
      </c>
      <c r="AJ33" s="59">
        <v>0</v>
      </c>
      <c r="AK33" s="59">
        <v>1</v>
      </c>
      <c r="AL33" s="59" t="s">
        <v>164</v>
      </c>
      <c r="AM33" s="59" t="s">
        <v>152</v>
      </c>
      <c r="AN33" s="59">
        <v>11</v>
      </c>
      <c r="AO33" s="59">
        <v>0.84027777777777779</v>
      </c>
      <c r="AP33" s="3">
        <v>0</v>
      </c>
      <c r="AQ33" s="7">
        <v>0</v>
      </c>
      <c r="AR33" s="7">
        <v>3600</v>
      </c>
      <c r="AS33" s="59">
        <v>0</v>
      </c>
      <c r="AT33" s="7">
        <v>0</v>
      </c>
      <c r="AU33" s="59">
        <v>1</v>
      </c>
      <c r="AV33" s="7" t="s">
        <v>164</v>
      </c>
      <c r="AW33" s="44" t="s">
        <v>152</v>
      </c>
      <c r="AX33" s="7">
        <v>11</v>
      </c>
      <c r="AY33" s="44">
        <v>0.84027777777777779</v>
      </c>
      <c r="AZ33" s="3">
        <v>0</v>
      </c>
      <c r="BA33" s="7">
        <v>0</v>
      </c>
      <c r="BB33" s="7">
        <v>6700</v>
      </c>
      <c r="BC33" s="59">
        <v>0</v>
      </c>
      <c r="BD33" s="7">
        <v>0</v>
      </c>
      <c r="BE33" s="59">
        <v>1</v>
      </c>
      <c r="BF33" s="7" t="s">
        <v>164</v>
      </c>
      <c r="BG33" s="44" t="s">
        <v>152</v>
      </c>
      <c r="BH33" s="7">
        <v>11</v>
      </c>
      <c r="BI33" s="44">
        <v>0.84027777777777779</v>
      </c>
      <c r="BJ33" s="3">
        <v>0</v>
      </c>
      <c r="BK33" s="7">
        <v>0</v>
      </c>
      <c r="BL33" s="7">
        <v>3300</v>
      </c>
      <c r="BM33" s="7">
        <v>0</v>
      </c>
      <c r="BN33" s="7">
        <v>0</v>
      </c>
      <c r="BO33" s="59">
        <v>1</v>
      </c>
      <c r="BP33" s="7" t="s">
        <v>164</v>
      </c>
      <c r="BQ33" s="44" t="s">
        <v>152</v>
      </c>
      <c r="BR33" s="7">
        <v>11</v>
      </c>
      <c r="BS33" s="44">
        <v>0.84027777777777779</v>
      </c>
      <c r="BT33" s="45">
        <v>0</v>
      </c>
    </row>
    <row r="34" spans="1:72" x14ac:dyDescent="0.25">
      <c r="A34">
        <v>766</v>
      </c>
      <c r="B34" t="s">
        <v>148</v>
      </c>
      <c r="C34" s="16">
        <v>2500</v>
      </c>
      <c r="D34" s="7">
        <v>900</v>
      </c>
      <c r="E34" s="7">
        <v>0</v>
      </c>
      <c r="F34" s="7">
        <v>0</v>
      </c>
      <c r="G34" s="59">
        <v>2</v>
      </c>
      <c r="H34" s="7" t="s">
        <v>141</v>
      </c>
      <c r="I34" s="44" t="s">
        <v>137</v>
      </c>
      <c r="J34" s="7">
        <v>9</v>
      </c>
      <c r="K34" s="44">
        <v>0.7715277777777777</v>
      </c>
      <c r="L34" s="3">
        <v>0</v>
      </c>
      <c r="M34" s="7">
        <v>0</v>
      </c>
      <c r="N34" s="7">
        <v>3800</v>
      </c>
      <c r="O34" s="59">
        <v>0</v>
      </c>
      <c r="P34" s="7">
        <v>0</v>
      </c>
      <c r="Q34" s="44">
        <v>3</v>
      </c>
      <c r="R34" s="44" t="s">
        <v>143</v>
      </c>
      <c r="S34" s="44" t="s">
        <v>162</v>
      </c>
      <c r="T34" s="7">
        <v>6</v>
      </c>
      <c r="U34" s="44">
        <v>0.75138888888888899</v>
      </c>
      <c r="V34" s="3">
        <v>0</v>
      </c>
      <c r="W34" s="59">
        <v>0</v>
      </c>
      <c r="X34" s="59">
        <v>8800</v>
      </c>
      <c r="Y34" s="59">
        <v>0</v>
      </c>
      <c r="Z34" s="7">
        <v>0</v>
      </c>
      <c r="AA34" s="7">
        <v>3</v>
      </c>
      <c r="AB34" s="7" t="s">
        <v>143</v>
      </c>
      <c r="AC34" s="44" t="s">
        <v>141</v>
      </c>
      <c r="AD34" s="7">
        <v>6</v>
      </c>
      <c r="AE34" s="44">
        <v>0.75138888888888899</v>
      </c>
      <c r="AF34" s="3">
        <v>0</v>
      </c>
      <c r="AG34" s="7">
        <v>0</v>
      </c>
      <c r="AH34" s="7">
        <v>9200</v>
      </c>
      <c r="AI34" s="59">
        <v>0</v>
      </c>
      <c r="AJ34" s="59">
        <v>0</v>
      </c>
      <c r="AK34" s="59">
        <v>3</v>
      </c>
      <c r="AL34" s="59" t="s">
        <v>143</v>
      </c>
      <c r="AM34" s="59" t="s">
        <v>141</v>
      </c>
      <c r="AN34" s="59">
        <v>6</v>
      </c>
      <c r="AO34" s="59">
        <v>0.75138888888888899</v>
      </c>
      <c r="AP34" s="3">
        <v>0</v>
      </c>
      <c r="AQ34" s="7">
        <v>0</v>
      </c>
      <c r="AR34" s="7">
        <v>7100</v>
      </c>
      <c r="AS34" s="59">
        <v>0</v>
      </c>
      <c r="AT34" s="7">
        <v>0</v>
      </c>
      <c r="AU34" s="59">
        <v>3</v>
      </c>
      <c r="AV34" s="7" t="s">
        <v>143</v>
      </c>
      <c r="AW34" s="44" t="s">
        <v>141</v>
      </c>
      <c r="AX34" s="7">
        <v>6</v>
      </c>
      <c r="AY34" s="44">
        <v>0.75138888888888899</v>
      </c>
      <c r="AZ34" s="3">
        <v>0</v>
      </c>
      <c r="BA34" s="7">
        <v>0</v>
      </c>
      <c r="BB34" s="7">
        <v>4600</v>
      </c>
      <c r="BC34" s="59">
        <v>0</v>
      </c>
      <c r="BD34" s="7">
        <v>0</v>
      </c>
      <c r="BE34" s="59">
        <v>3</v>
      </c>
      <c r="BF34" s="7" t="s">
        <v>143</v>
      </c>
      <c r="BG34" s="44" t="s">
        <v>141</v>
      </c>
      <c r="BH34" s="7">
        <v>6</v>
      </c>
      <c r="BI34" s="44">
        <v>0.75138888888888899</v>
      </c>
      <c r="BJ34" s="3">
        <v>0</v>
      </c>
      <c r="BK34" s="7">
        <v>0</v>
      </c>
      <c r="BL34" s="7">
        <v>5500</v>
      </c>
      <c r="BM34" s="7">
        <v>0</v>
      </c>
      <c r="BN34" s="7">
        <v>0</v>
      </c>
      <c r="BO34" s="59">
        <v>3</v>
      </c>
      <c r="BP34" s="7" t="s">
        <v>143</v>
      </c>
      <c r="BQ34" s="44" t="s">
        <v>141</v>
      </c>
      <c r="BR34" s="7">
        <v>6</v>
      </c>
      <c r="BS34" s="44">
        <v>0.75138888888888899</v>
      </c>
      <c r="BT34" s="45">
        <v>0</v>
      </c>
    </row>
    <row r="35" spans="1:72" x14ac:dyDescent="0.25">
      <c r="A35">
        <v>767</v>
      </c>
      <c r="B35" t="s">
        <v>149</v>
      </c>
      <c r="C35" s="16">
        <v>2500</v>
      </c>
      <c r="D35" s="7">
        <v>0</v>
      </c>
      <c r="E35" s="7">
        <v>0</v>
      </c>
      <c r="F35" s="7">
        <v>400</v>
      </c>
      <c r="G35" s="59">
        <v>0</v>
      </c>
      <c r="H35" s="7"/>
      <c r="I35" s="44"/>
      <c r="J35" s="7">
        <v>0</v>
      </c>
      <c r="K35" s="44">
        <v>0.45833333333333331</v>
      </c>
      <c r="L35" s="3">
        <v>0</v>
      </c>
      <c r="M35" s="7">
        <v>400</v>
      </c>
      <c r="N35" s="7">
        <v>8700</v>
      </c>
      <c r="O35" s="59">
        <v>0</v>
      </c>
      <c r="P35" s="7">
        <v>0</v>
      </c>
      <c r="Q35" s="44">
        <v>3</v>
      </c>
      <c r="R35" s="44" t="s">
        <v>130</v>
      </c>
      <c r="S35" s="44" t="s">
        <v>132</v>
      </c>
      <c r="T35" s="7">
        <v>3</v>
      </c>
      <c r="U35" s="44">
        <v>0.71388888888888891</v>
      </c>
      <c r="V35" s="3">
        <v>0</v>
      </c>
      <c r="W35" s="59">
        <v>0</v>
      </c>
      <c r="X35" s="59">
        <v>6200</v>
      </c>
      <c r="Y35" s="59">
        <v>0</v>
      </c>
      <c r="Z35" s="7">
        <v>0</v>
      </c>
      <c r="AA35" s="7">
        <v>3</v>
      </c>
      <c r="AB35" s="7" t="s">
        <v>130</v>
      </c>
      <c r="AC35" s="44" t="s">
        <v>132</v>
      </c>
      <c r="AD35" s="7">
        <v>3</v>
      </c>
      <c r="AE35" s="44">
        <v>0.71388888888888891</v>
      </c>
      <c r="AF35" s="3">
        <v>0</v>
      </c>
      <c r="AG35" s="7">
        <v>0</v>
      </c>
      <c r="AH35" s="7">
        <v>7900</v>
      </c>
      <c r="AI35" s="59">
        <v>0</v>
      </c>
      <c r="AJ35" s="59">
        <v>0</v>
      </c>
      <c r="AK35" s="59">
        <v>3</v>
      </c>
      <c r="AL35" s="59" t="s">
        <v>130</v>
      </c>
      <c r="AM35" s="59" t="s">
        <v>132</v>
      </c>
      <c r="AN35" s="59">
        <v>3</v>
      </c>
      <c r="AO35" s="59">
        <v>0.71388888888888891</v>
      </c>
      <c r="AP35" s="3">
        <v>0</v>
      </c>
      <c r="AQ35" s="7">
        <v>0</v>
      </c>
      <c r="AR35" s="7">
        <v>7800</v>
      </c>
      <c r="AS35" s="59">
        <v>0</v>
      </c>
      <c r="AT35" s="7">
        <v>0</v>
      </c>
      <c r="AU35" s="59">
        <v>3</v>
      </c>
      <c r="AV35" s="7" t="s">
        <v>130</v>
      </c>
      <c r="AW35" s="44" t="s">
        <v>132</v>
      </c>
      <c r="AX35" s="7">
        <v>3</v>
      </c>
      <c r="AY35" s="44">
        <v>0.71388888888888891</v>
      </c>
      <c r="AZ35" s="3">
        <v>0</v>
      </c>
      <c r="BA35" s="7">
        <v>0</v>
      </c>
      <c r="BB35" s="7">
        <v>5100</v>
      </c>
      <c r="BC35" s="59">
        <v>0</v>
      </c>
      <c r="BD35" s="7">
        <v>0</v>
      </c>
      <c r="BE35" s="59">
        <v>3</v>
      </c>
      <c r="BF35" s="7" t="s">
        <v>130</v>
      </c>
      <c r="BG35" s="44" t="s">
        <v>132</v>
      </c>
      <c r="BH35" s="7">
        <v>3</v>
      </c>
      <c r="BI35" s="44">
        <v>0.71388888888888891</v>
      </c>
      <c r="BJ35" s="3">
        <v>0</v>
      </c>
      <c r="BK35" s="7">
        <v>0</v>
      </c>
      <c r="BL35" s="7">
        <v>7600</v>
      </c>
      <c r="BM35" s="7">
        <v>0</v>
      </c>
      <c r="BN35" s="7">
        <v>0</v>
      </c>
      <c r="BO35" s="59">
        <v>3</v>
      </c>
      <c r="BP35" s="7" t="s">
        <v>130</v>
      </c>
      <c r="BQ35" s="44" t="s">
        <v>132</v>
      </c>
      <c r="BR35" s="7">
        <v>3</v>
      </c>
      <c r="BS35" s="44">
        <v>0.71388888888888891</v>
      </c>
      <c r="BT35" s="45">
        <v>0</v>
      </c>
    </row>
    <row r="36" spans="1:72" x14ac:dyDescent="0.25">
      <c r="A36">
        <v>795</v>
      </c>
      <c r="B36" t="s">
        <v>150</v>
      </c>
      <c r="C36" s="16">
        <v>6500</v>
      </c>
      <c r="D36" s="7">
        <v>1300</v>
      </c>
      <c r="E36" s="7">
        <v>0</v>
      </c>
      <c r="F36" s="7">
        <v>0</v>
      </c>
      <c r="G36" s="59">
        <v>2</v>
      </c>
      <c r="H36" s="7" t="s">
        <v>137</v>
      </c>
      <c r="I36" s="44" t="s">
        <v>117</v>
      </c>
      <c r="J36" s="7">
        <v>11</v>
      </c>
      <c r="K36" s="44">
        <v>0.79513888888888884</v>
      </c>
      <c r="L36" s="3">
        <v>0</v>
      </c>
      <c r="M36" s="7">
        <v>0</v>
      </c>
      <c r="N36" s="7">
        <v>0</v>
      </c>
      <c r="O36" s="59">
        <v>0</v>
      </c>
      <c r="P36" s="7">
        <v>0</v>
      </c>
      <c r="Q36" s="44">
        <v>0</v>
      </c>
      <c r="R36" s="44"/>
      <c r="S36" s="44"/>
      <c r="T36" s="7">
        <v>0</v>
      </c>
      <c r="U36" s="44">
        <v>0.45833333333333331</v>
      </c>
      <c r="V36" s="3">
        <v>0</v>
      </c>
      <c r="W36" s="59">
        <v>0</v>
      </c>
      <c r="X36" s="59">
        <v>3700</v>
      </c>
      <c r="Y36" s="59">
        <v>0</v>
      </c>
      <c r="Z36" s="7">
        <v>0</v>
      </c>
      <c r="AA36" s="7">
        <v>3</v>
      </c>
      <c r="AB36" s="7" t="s">
        <v>136</v>
      </c>
      <c r="AC36" s="44" t="s">
        <v>117</v>
      </c>
      <c r="AD36" s="7">
        <v>12</v>
      </c>
      <c r="AE36" s="44">
        <v>0.83124999999999993</v>
      </c>
      <c r="AF36" s="3">
        <v>0</v>
      </c>
      <c r="AG36" s="7">
        <v>0</v>
      </c>
      <c r="AH36" s="7">
        <v>3100</v>
      </c>
      <c r="AI36" s="59">
        <v>0</v>
      </c>
      <c r="AJ36" s="59">
        <v>0</v>
      </c>
      <c r="AK36" s="59">
        <v>3</v>
      </c>
      <c r="AL36" s="59" t="s">
        <v>138</v>
      </c>
      <c r="AM36" s="59" t="s">
        <v>162</v>
      </c>
      <c r="AN36" s="59">
        <v>10</v>
      </c>
      <c r="AO36" s="59">
        <v>0.79999999999999993</v>
      </c>
      <c r="AP36" s="3">
        <v>0</v>
      </c>
      <c r="AQ36" s="7">
        <v>0</v>
      </c>
      <c r="AR36" s="7">
        <v>9500</v>
      </c>
      <c r="AS36" s="59">
        <v>0</v>
      </c>
      <c r="AT36" s="7">
        <v>0</v>
      </c>
      <c r="AU36" s="59">
        <v>3</v>
      </c>
      <c r="AV36" s="7" t="s">
        <v>138</v>
      </c>
      <c r="AW36" s="44" t="s">
        <v>162</v>
      </c>
      <c r="AX36" s="7">
        <v>10</v>
      </c>
      <c r="AY36" s="44">
        <v>0.79999999999999993</v>
      </c>
      <c r="AZ36" s="3">
        <v>0</v>
      </c>
      <c r="BA36" s="7">
        <v>0</v>
      </c>
      <c r="BB36" s="7">
        <v>4400</v>
      </c>
      <c r="BC36" s="59">
        <v>0</v>
      </c>
      <c r="BD36" s="7">
        <v>0</v>
      </c>
      <c r="BE36" s="59">
        <v>3</v>
      </c>
      <c r="BF36" s="7" t="s">
        <v>138</v>
      </c>
      <c r="BG36" s="44" t="s">
        <v>162</v>
      </c>
      <c r="BH36" s="7">
        <v>10</v>
      </c>
      <c r="BI36" s="44">
        <v>0.79999999999999993</v>
      </c>
      <c r="BJ36" s="3">
        <v>0</v>
      </c>
      <c r="BK36" s="7">
        <v>0</v>
      </c>
      <c r="BL36" s="7">
        <v>6900</v>
      </c>
      <c r="BM36" s="7">
        <v>0</v>
      </c>
      <c r="BN36" s="7">
        <v>0</v>
      </c>
      <c r="BO36" s="59">
        <v>3</v>
      </c>
      <c r="BP36" s="7" t="s">
        <v>138</v>
      </c>
      <c r="BQ36" s="44" t="s">
        <v>162</v>
      </c>
      <c r="BR36" s="7">
        <v>10</v>
      </c>
      <c r="BS36" s="44">
        <v>0.79999999999999993</v>
      </c>
      <c r="BT36" s="45">
        <v>0</v>
      </c>
    </row>
    <row r="37" spans="1:72" x14ac:dyDescent="0.25">
      <c r="A37">
        <v>798</v>
      </c>
      <c r="B37" t="s">
        <v>151</v>
      </c>
      <c r="C37" s="16">
        <v>6500</v>
      </c>
      <c r="D37" s="7">
        <v>2500</v>
      </c>
      <c r="E37" s="7">
        <v>0</v>
      </c>
      <c r="F37" s="7">
        <v>0</v>
      </c>
      <c r="G37" s="59">
        <v>2</v>
      </c>
      <c r="H37" s="7" t="s">
        <v>159</v>
      </c>
      <c r="I37" s="44" t="s">
        <v>155</v>
      </c>
      <c r="J37" s="7">
        <v>3</v>
      </c>
      <c r="K37" s="44">
        <v>0.70138888888888884</v>
      </c>
      <c r="L37" s="3">
        <v>0</v>
      </c>
      <c r="M37" s="7">
        <v>0</v>
      </c>
      <c r="N37" s="7">
        <v>0</v>
      </c>
      <c r="O37" s="59">
        <v>0</v>
      </c>
      <c r="P37" s="7">
        <v>0</v>
      </c>
      <c r="Q37" s="44">
        <v>0</v>
      </c>
      <c r="R37" s="44"/>
      <c r="S37" s="44"/>
      <c r="T37" s="7">
        <v>0</v>
      </c>
      <c r="U37" s="44">
        <v>0.45833333333333331</v>
      </c>
      <c r="V37" s="3">
        <v>0</v>
      </c>
      <c r="W37" s="59">
        <v>0</v>
      </c>
      <c r="X37" s="59">
        <v>0</v>
      </c>
      <c r="Y37" s="59">
        <v>0</v>
      </c>
      <c r="Z37" s="7">
        <v>0</v>
      </c>
      <c r="AA37" s="7">
        <v>0</v>
      </c>
      <c r="AB37" s="7"/>
      <c r="AC37" s="44"/>
      <c r="AD37" s="7">
        <v>0</v>
      </c>
      <c r="AE37" s="44">
        <v>0.45833333333333331</v>
      </c>
      <c r="AF37" s="3">
        <v>0</v>
      </c>
      <c r="AG37" s="7">
        <v>0</v>
      </c>
      <c r="AH37" s="7">
        <v>0</v>
      </c>
      <c r="AI37" s="59">
        <v>0</v>
      </c>
      <c r="AJ37" s="59">
        <v>0</v>
      </c>
      <c r="AK37" s="59">
        <v>0</v>
      </c>
      <c r="AL37" s="59"/>
      <c r="AM37" s="59"/>
      <c r="AN37" s="59">
        <v>0</v>
      </c>
      <c r="AO37" s="59">
        <v>0.45833333333333331</v>
      </c>
      <c r="AP37" s="3">
        <v>0</v>
      </c>
      <c r="AQ37" s="7">
        <v>0</v>
      </c>
      <c r="AR37" s="7">
        <v>0</v>
      </c>
      <c r="AS37" s="59">
        <v>0</v>
      </c>
      <c r="AT37" s="7">
        <v>0</v>
      </c>
      <c r="AU37" s="59">
        <v>0</v>
      </c>
      <c r="AV37" s="7"/>
      <c r="AW37" s="44"/>
      <c r="AX37" s="7">
        <v>0</v>
      </c>
      <c r="AY37" s="44">
        <v>0.45833333333333331</v>
      </c>
      <c r="AZ37" s="3">
        <v>0</v>
      </c>
      <c r="BA37" s="7">
        <v>0</v>
      </c>
      <c r="BB37" s="7">
        <v>0</v>
      </c>
      <c r="BC37" s="59">
        <v>0</v>
      </c>
      <c r="BD37" s="7">
        <v>0</v>
      </c>
      <c r="BE37" s="59">
        <v>0</v>
      </c>
      <c r="BF37" s="7"/>
      <c r="BG37" s="44"/>
      <c r="BH37" s="7">
        <v>0</v>
      </c>
      <c r="BI37" s="44">
        <v>0.45833333333333331</v>
      </c>
      <c r="BJ37" s="3">
        <v>0</v>
      </c>
      <c r="BK37" s="7">
        <v>0</v>
      </c>
      <c r="BL37" s="7">
        <v>0</v>
      </c>
      <c r="BM37" s="7">
        <v>0</v>
      </c>
      <c r="BN37" s="7">
        <v>0</v>
      </c>
      <c r="BO37" s="59">
        <v>0</v>
      </c>
      <c r="BP37" s="7"/>
      <c r="BQ37" s="44"/>
      <c r="BR37" s="7">
        <v>0</v>
      </c>
      <c r="BS37" s="44">
        <v>0.45833333333333331</v>
      </c>
      <c r="BT37" s="45">
        <v>0</v>
      </c>
    </row>
    <row r="38" spans="1:72" x14ac:dyDescent="0.25">
      <c r="A38">
        <v>799</v>
      </c>
      <c r="B38" t="s">
        <v>152</v>
      </c>
      <c r="C38" s="16">
        <v>16500</v>
      </c>
      <c r="D38" s="7">
        <v>0</v>
      </c>
      <c r="E38" s="7">
        <v>0</v>
      </c>
      <c r="F38" s="7">
        <v>12300</v>
      </c>
      <c r="G38" s="59">
        <v>0</v>
      </c>
      <c r="H38" s="7"/>
      <c r="I38" s="44"/>
      <c r="J38" s="7">
        <v>0</v>
      </c>
      <c r="K38" s="44">
        <v>0.45833333333333331</v>
      </c>
      <c r="L38" s="3">
        <v>0</v>
      </c>
      <c r="M38" s="7">
        <v>12300</v>
      </c>
      <c r="N38" s="7">
        <v>0</v>
      </c>
      <c r="O38" s="59">
        <v>0</v>
      </c>
      <c r="P38" s="7">
        <v>4000</v>
      </c>
      <c r="Q38" s="44">
        <v>0</v>
      </c>
      <c r="R38" s="44"/>
      <c r="S38" s="44"/>
      <c r="T38" s="7">
        <v>0</v>
      </c>
      <c r="U38" s="44">
        <v>0.45833333333333331</v>
      </c>
      <c r="V38" s="3">
        <v>0</v>
      </c>
      <c r="W38" s="59">
        <v>4000</v>
      </c>
      <c r="X38" s="59">
        <v>4000</v>
      </c>
      <c r="Y38" s="59">
        <v>0</v>
      </c>
      <c r="Z38" s="7">
        <v>0</v>
      </c>
      <c r="AA38" s="7">
        <v>1</v>
      </c>
      <c r="AB38" s="7" t="s">
        <v>147</v>
      </c>
      <c r="AC38" s="44" t="s">
        <v>213</v>
      </c>
      <c r="AD38" s="7">
        <v>12</v>
      </c>
      <c r="AE38" s="44">
        <v>0.8520833333333333</v>
      </c>
      <c r="AF38" s="3">
        <v>0</v>
      </c>
      <c r="AG38" s="7">
        <v>0</v>
      </c>
      <c r="AH38" s="7">
        <v>7500</v>
      </c>
      <c r="AI38" s="59">
        <v>0</v>
      </c>
      <c r="AJ38" s="59">
        <v>0</v>
      </c>
      <c r="AK38" s="59">
        <v>1</v>
      </c>
      <c r="AL38" s="59" t="s">
        <v>147</v>
      </c>
      <c r="AM38" s="59" t="s">
        <v>213</v>
      </c>
      <c r="AN38" s="59">
        <v>12</v>
      </c>
      <c r="AO38" s="59">
        <v>0.8520833333333333</v>
      </c>
      <c r="AP38" s="3">
        <v>0</v>
      </c>
      <c r="AQ38" s="7">
        <v>0</v>
      </c>
      <c r="AR38" s="7">
        <v>10000</v>
      </c>
      <c r="AS38" s="59">
        <v>0</v>
      </c>
      <c r="AT38" s="7">
        <v>0</v>
      </c>
      <c r="AU38" s="59">
        <v>1</v>
      </c>
      <c r="AV38" s="7" t="s">
        <v>147</v>
      </c>
      <c r="AW38" s="44" t="s">
        <v>213</v>
      </c>
      <c r="AX38" s="7">
        <v>12</v>
      </c>
      <c r="AY38" s="44">
        <v>0.8520833333333333</v>
      </c>
      <c r="AZ38" s="3">
        <v>0</v>
      </c>
      <c r="BA38" s="7">
        <v>0</v>
      </c>
      <c r="BB38" s="7">
        <v>6100</v>
      </c>
      <c r="BC38" s="59">
        <v>0</v>
      </c>
      <c r="BD38" s="7">
        <v>0</v>
      </c>
      <c r="BE38" s="59">
        <v>1</v>
      </c>
      <c r="BF38" s="7" t="s">
        <v>147</v>
      </c>
      <c r="BG38" s="44" t="s">
        <v>213</v>
      </c>
      <c r="BH38" s="7">
        <v>12</v>
      </c>
      <c r="BI38" s="44">
        <v>0.8520833333333333</v>
      </c>
      <c r="BJ38" s="3">
        <v>0</v>
      </c>
      <c r="BK38" s="7">
        <v>0</v>
      </c>
      <c r="BL38" s="7">
        <v>6800</v>
      </c>
      <c r="BM38" s="7">
        <v>0</v>
      </c>
      <c r="BN38" s="7">
        <v>0</v>
      </c>
      <c r="BO38" s="59">
        <v>1</v>
      </c>
      <c r="BP38" s="7" t="s">
        <v>147</v>
      </c>
      <c r="BQ38" s="44" t="s">
        <v>213</v>
      </c>
      <c r="BR38" s="7">
        <v>12</v>
      </c>
      <c r="BS38" s="44">
        <v>0.8520833333333333</v>
      </c>
      <c r="BT38" s="45">
        <v>0</v>
      </c>
    </row>
    <row r="39" spans="1:72" x14ac:dyDescent="0.25">
      <c r="A39">
        <v>811</v>
      </c>
      <c r="B39" t="s">
        <v>153</v>
      </c>
      <c r="C39" s="16">
        <v>5000</v>
      </c>
      <c r="D39" s="7">
        <v>500</v>
      </c>
      <c r="E39" s="7">
        <v>0</v>
      </c>
      <c r="F39" s="7">
        <v>0</v>
      </c>
      <c r="G39" s="59">
        <v>3</v>
      </c>
      <c r="H39" s="7" t="s">
        <v>213</v>
      </c>
      <c r="I39" s="44" t="s">
        <v>165</v>
      </c>
      <c r="J39" s="7">
        <v>1</v>
      </c>
      <c r="K39" s="44">
        <v>0.46319444444444446</v>
      </c>
      <c r="L39" s="3">
        <v>0</v>
      </c>
      <c r="M39" s="7">
        <v>0</v>
      </c>
      <c r="N39" s="7">
        <v>9900</v>
      </c>
      <c r="O39" s="59">
        <v>0</v>
      </c>
      <c r="P39" s="7">
        <v>0</v>
      </c>
      <c r="Q39" s="44">
        <v>2</v>
      </c>
      <c r="R39" s="44" t="s">
        <v>121</v>
      </c>
      <c r="S39" s="44" t="s">
        <v>165</v>
      </c>
      <c r="T39" s="7">
        <v>4</v>
      </c>
      <c r="U39" s="44">
        <v>0.79652777777777783</v>
      </c>
      <c r="V39" s="3">
        <v>0</v>
      </c>
      <c r="W39" s="59">
        <v>0</v>
      </c>
      <c r="X39" s="59">
        <v>4000</v>
      </c>
      <c r="Y39" s="59">
        <v>0</v>
      </c>
      <c r="Z39" s="7">
        <v>0</v>
      </c>
      <c r="AA39" s="7">
        <v>2</v>
      </c>
      <c r="AB39" s="7" t="s">
        <v>121</v>
      </c>
      <c r="AC39" s="44" t="s">
        <v>165</v>
      </c>
      <c r="AD39" s="7">
        <v>5</v>
      </c>
      <c r="AE39" s="44">
        <v>0.8027777777777777</v>
      </c>
      <c r="AF39" s="3">
        <v>0</v>
      </c>
      <c r="AG39" s="7">
        <v>0</v>
      </c>
      <c r="AH39" s="7">
        <v>3800</v>
      </c>
      <c r="AI39" s="59">
        <v>0</v>
      </c>
      <c r="AJ39" s="59">
        <v>0</v>
      </c>
      <c r="AK39" s="59">
        <v>2</v>
      </c>
      <c r="AL39" s="59" t="s">
        <v>127</v>
      </c>
      <c r="AM39" s="59" t="s">
        <v>165</v>
      </c>
      <c r="AN39" s="59">
        <v>6</v>
      </c>
      <c r="AO39" s="59">
        <v>0.84236111111111101</v>
      </c>
      <c r="AP39" s="3">
        <v>0</v>
      </c>
      <c r="AQ39" s="7">
        <v>0</v>
      </c>
      <c r="AR39" s="7">
        <v>2800</v>
      </c>
      <c r="AS39" s="59">
        <v>0</v>
      </c>
      <c r="AT39" s="7">
        <v>0</v>
      </c>
      <c r="AU39" s="59">
        <v>2</v>
      </c>
      <c r="AV39" s="7" t="s">
        <v>127</v>
      </c>
      <c r="AW39" s="44" t="s">
        <v>165</v>
      </c>
      <c r="AX39" s="7">
        <v>6</v>
      </c>
      <c r="AY39" s="44">
        <v>0.84236111111111101</v>
      </c>
      <c r="AZ39" s="3">
        <v>0</v>
      </c>
      <c r="BA39" s="7">
        <v>0</v>
      </c>
      <c r="BB39" s="7">
        <v>8500</v>
      </c>
      <c r="BC39" s="59">
        <v>0</v>
      </c>
      <c r="BD39" s="7">
        <v>0</v>
      </c>
      <c r="BE39" s="59">
        <v>2</v>
      </c>
      <c r="BF39" s="7" t="s">
        <v>127</v>
      </c>
      <c r="BG39" s="44" t="s">
        <v>165</v>
      </c>
      <c r="BH39" s="7">
        <v>6</v>
      </c>
      <c r="BI39" s="44">
        <v>0.84236111111111101</v>
      </c>
      <c r="BJ39" s="3">
        <v>0</v>
      </c>
      <c r="BK39" s="7">
        <v>0</v>
      </c>
      <c r="BL39" s="7">
        <v>4100</v>
      </c>
      <c r="BM39" s="7">
        <v>0</v>
      </c>
      <c r="BN39" s="7">
        <v>0</v>
      </c>
      <c r="BO39" s="59">
        <v>2</v>
      </c>
      <c r="BP39" s="7" t="s">
        <v>127</v>
      </c>
      <c r="BQ39" s="44" t="s">
        <v>165</v>
      </c>
      <c r="BR39" s="7">
        <v>6</v>
      </c>
      <c r="BS39" s="44">
        <v>0.84236111111111101</v>
      </c>
      <c r="BT39" s="45">
        <v>0</v>
      </c>
    </row>
    <row r="40" spans="1:72" x14ac:dyDescent="0.25">
      <c r="A40">
        <v>820</v>
      </c>
      <c r="B40" t="s">
        <v>154</v>
      </c>
      <c r="C40" s="16">
        <v>15000</v>
      </c>
      <c r="D40" s="7">
        <v>0</v>
      </c>
      <c r="E40" s="7">
        <v>0</v>
      </c>
      <c r="F40" s="7">
        <v>9000</v>
      </c>
      <c r="G40" s="59">
        <v>0</v>
      </c>
      <c r="H40" s="7"/>
      <c r="I40" s="44"/>
      <c r="J40" s="7">
        <v>0</v>
      </c>
      <c r="K40" s="44">
        <v>0.45833333333333331</v>
      </c>
      <c r="L40" s="3">
        <v>0</v>
      </c>
      <c r="M40" s="7">
        <v>9000</v>
      </c>
      <c r="N40" s="7">
        <v>300</v>
      </c>
      <c r="O40" s="59">
        <v>0</v>
      </c>
      <c r="P40" s="7">
        <v>0</v>
      </c>
      <c r="Q40" s="44">
        <v>2</v>
      </c>
      <c r="R40" s="44" t="s">
        <v>142</v>
      </c>
      <c r="S40" s="44" t="s">
        <v>213</v>
      </c>
      <c r="T40" s="7">
        <v>9</v>
      </c>
      <c r="U40" s="44">
        <v>0.86041666666666661</v>
      </c>
      <c r="V40" s="3">
        <v>0</v>
      </c>
      <c r="W40" s="59">
        <v>0</v>
      </c>
      <c r="X40" s="59">
        <v>10000</v>
      </c>
      <c r="Y40" s="59">
        <v>0</v>
      </c>
      <c r="Z40" s="7">
        <v>0</v>
      </c>
      <c r="AA40" s="7">
        <v>3</v>
      </c>
      <c r="AB40" s="7" t="s">
        <v>141</v>
      </c>
      <c r="AC40" s="44" t="s">
        <v>137</v>
      </c>
      <c r="AD40" s="7">
        <v>8</v>
      </c>
      <c r="AE40" s="44">
        <v>0.77708333333333324</v>
      </c>
      <c r="AF40" s="3">
        <v>0</v>
      </c>
      <c r="AG40" s="7">
        <v>0</v>
      </c>
      <c r="AH40" s="7">
        <v>0</v>
      </c>
      <c r="AI40" s="59">
        <v>0</v>
      </c>
      <c r="AJ40" s="59">
        <v>0</v>
      </c>
      <c r="AK40" s="59">
        <v>0</v>
      </c>
      <c r="AL40" s="59"/>
      <c r="AM40" s="59"/>
      <c r="AN40" s="59">
        <v>0</v>
      </c>
      <c r="AO40" s="59">
        <v>0.45833333333333331</v>
      </c>
      <c r="AP40" s="3">
        <v>0</v>
      </c>
      <c r="AQ40" s="7">
        <v>0</v>
      </c>
      <c r="AR40" s="7">
        <v>0</v>
      </c>
      <c r="AS40" s="59">
        <v>0</v>
      </c>
      <c r="AT40" s="7">
        <v>0</v>
      </c>
      <c r="AU40" s="59">
        <v>0</v>
      </c>
      <c r="AV40" s="7"/>
      <c r="AW40" s="44"/>
      <c r="AX40" s="7">
        <v>0</v>
      </c>
      <c r="AY40" s="44">
        <v>0.45833333333333331</v>
      </c>
      <c r="AZ40" s="3">
        <v>0</v>
      </c>
      <c r="BA40" s="7">
        <v>0</v>
      </c>
      <c r="BB40" s="7">
        <v>0</v>
      </c>
      <c r="BC40" s="59">
        <v>0</v>
      </c>
      <c r="BD40" s="7">
        <v>0</v>
      </c>
      <c r="BE40" s="59">
        <v>0</v>
      </c>
      <c r="BF40" s="7"/>
      <c r="BG40" s="44"/>
      <c r="BH40" s="7">
        <v>0</v>
      </c>
      <c r="BI40" s="44">
        <v>0.45833333333333331</v>
      </c>
      <c r="BJ40" s="3">
        <v>0</v>
      </c>
      <c r="BK40" s="7">
        <v>0</v>
      </c>
      <c r="BL40" s="7">
        <v>0</v>
      </c>
      <c r="BM40" s="7">
        <v>0</v>
      </c>
      <c r="BN40" s="7">
        <v>0</v>
      </c>
      <c r="BO40" s="59">
        <v>0</v>
      </c>
      <c r="BP40" s="7"/>
      <c r="BQ40" s="44"/>
      <c r="BR40" s="7">
        <v>0</v>
      </c>
      <c r="BS40" s="44">
        <v>0.45833333333333331</v>
      </c>
      <c r="BT40" s="45">
        <v>0</v>
      </c>
    </row>
    <row r="41" spans="1:72" x14ac:dyDescent="0.25">
      <c r="A41">
        <v>830</v>
      </c>
      <c r="B41" t="s">
        <v>155</v>
      </c>
      <c r="C41" s="16">
        <v>4000</v>
      </c>
      <c r="D41" s="7">
        <v>1200</v>
      </c>
      <c r="E41" s="7">
        <v>0</v>
      </c>
      <c r="F41" s="7">
        <v>0</v>
      </c>
      <c r="G41" s="59">
        <v>2</v>
      </c>
      <c r="H41" s="7" t="s">
        <v>151</v>
      </c>
      <c r="I41" s="44" t="s">
        <v>157</v>
      </c>
      <c r="J41" s="7">
        <v>4</v>
      </c>
      <c r="K41" s="44">
        <v>0.71319444444444446</v>
      </c>
      <c r="L41" s="3">
        <v>0</v>
      </c>
      <c r="M41" s="7">
        <v>0</v>
      </c>
      <c r="N41" s="7">
        <v>0</v>
      </c>
      <c r="O41" s="59">
        <v>0</v>
      </c>
      <c r="P41" s="7">
        <v>0</v>
      </c>
      <c r="Q41" s="44">
        <v>0</v>
      </c>
      <c r="R41" s="44"/>
      <c r="S41" s="44"/>
      <c r="T41" s="7">
        <v>0</v>
      </c>
      <c r="U41" s="44">
        <v>0.45833333333333331</v>
      </c>
      <c r="V41" s="3">
        <v>0</v>
      </c>
      <c r="W41" s="59">
        <v>0</v>
      </c>
      <c r="X41" s="59">
        <v>0</v>
      </c>
      <c r="Y41" s="59">
        <v>0</v>
      </c>
      <c r="Z41" s="7">
        <v>0</v>
      </c>
      <c r="AA41" s="7">
        <v>0</v>
      </c>
      <c r="AB41" s="7"/>
      <c r="AC41" s="44"/>
      <c r="AD41" s="7">
        <v>0</v>
      </c>
      <c r="AE41" s="44">
        <v>0.45833333333333331</v>
      </c>
      <c r="AF41" s="3">
        <v>0</v>
      </c>
      <c r="AG41" s="7">
        <v>0</v>
      </c>
      <c r="AH41" s="7">
        <v>0</v>
      </c>
      <c r="AI41" s="59">
        <v>0</v>
      </c>
      <c r="AJ41" s="59">
        <v>0</v>
      </c>
      <c r="AK41" s="59">
        <v>0</v>
      </c>
      <c r="AL41" s="59"/>
      <c r="AM41" s="59"/>
      <c r="AN41" s="59">
        <v>0</v>
      </c>
      <c r="AO41" s="59">
        <v>0.45833333333333331</v>
      </c>
      <c r="AP41" s="3">
        <v>0</v>
      </c>
      <c r="AQ41" s="7">
        <v>0</v>
      </c>
      <c r="AR41" s="7">
        <v>0</v>
      </c>
      <c r="AS41" s="59">
        <v>0</v>
      </c>
      <c r="AT41" s="7">
        <v>0</v>
      </c>
      <c r="AU41" s="59">
        <v>0</v>
      </c>
      <c r="AV41" s="7"/>
      <c r="AW41" s="44"/>
      <c r="AX41" s="7">
        <v>0</v>
      </c>
      <c r="AY41" s="44">
        <v>0.45833333333333331</v>
      </c>
      <c r="AZ41" s="3">
        <v>0</v>
      </c>
      <c r="BA41" s="7">
        <v>0</v>
      </c>
      <c r="BB41" s="7">
        <v>0</v>
      </c>
      <c r="BC41" s="59">
        <v>0</v>
      </c>
      <c r="BD41" s="7">
        <v>0</v>
      </c>
      <c r="BE41" s="59">
        <v>0</v>
      </c>
      <c r="BF41" s="7"/>
      <c r="BG41" s="44"/>
      <c r="BH41" s="7">
        <v>0</v>
      </c>
      <c r="BI41" s="44">
        <v>0.45833333333333331</v>
      </c>
      <c r="BJ41" s="3">
        <v>0</v>
      </c>
      <c r="BK41" s="7">
        <v>0</v>
      </c>
      <c r="BL41" s="7">
        <v>0</v>
      </c>
      <c r="BM41" s="7">
        <v>0</v>
      </c>
      <c r="BN41" s="7">
        <v>0</v>
      </c>
      <c r="BO41" s="59">
        <v>0</v>
      </c>
      <c r="BP41" s="7"/>
      <c r="BQ41" s="44"/>
      <c r="BR41" s="7">
        <v>0</v>
      </c>
      <c r="BS41" s="44">
        <v>0.45833333333333331</v>
      </c>
      <c r="BT41" s="45">
        <v>0</v>
      </c>
    </row>
    <row r="42" spans="1:72" x14ac:dyDescent="0.25">
      <c r="A42">
        <v>831</v>
      </c>
      <c r="B42" t="s">
        <v>156</v>
      </c>
      <c r="C42" s="16">
        <v>7000</v>
      </c>
      <c r="D42" s="7">
        <v>1700</v>
      </c>
      <c r="E42" s="7">
        <v>0</v>
      </c>
      <c r="F42" s="7">
        <v>0</v>
      </c>
      <c r="G42" s="59">
        <v>1</v>
      </c>
      <c r="H42" s="7" t="s">
        <v>166</v>
      </c>
      <c r="I42" s="44" t="s">
        <v>134</v>
      </c>
      <c r="J42" s="7">
        <v>6</v>
      </c>
      <c r="K42" s="44">
        <v>0.81597222222222221</v>
      </c>
      <c r="L42" s="3">
        <v>0</v>
      </c>
      <c r="M42" s="7">
        <v>0</v>
      </c>
      <c r="N42" s="7">
        <v>9600</v>
      </c>
      <c r="O42" s="59">
        <v>0</v>
      </c>
      <c r="P42" s="7">
        <v>0</v>
      </c>
      <c r="Q42" s="44">
        <v>1</v>
      </c>
      <c r="R42" s="44" t="s">
        <v>163</v>
      </c>
      <c r="S42" s="44" t="s">
        <v>164</v>
      </c>
      <c r="T42" s="7">
        <v>6</v>
      </c>
      <c r="U42" s="44">
        <v>0.75486111111111109</v>
      </c>
      <c r="V42" s="3">
        <v>0</v>
      </c>
      <c r="W42" s="59">
        <v>0</v>
      </c>
      <c r="X42" s="59">
        <v>8300</v>
      </c>
      <c r="Y42" s="59">
        <v>0</v>
      </c>
      <c r="Z42" s="7">
        <v>0</v>
      </c>
      <c r="AA42" s="7">
        <v>1</v>
      </c>
      <c r="AB42" s="7" t="s">
        <v>163</v>
      </c>
      <c r="AC42" s="44" t="s">
        <v>129</v>
      </c>
      <c r="AD42" s="7">
        <v>8</v>
      </c>
      <c r="AE42" s="44">
        <v>0.8027777777777777</v>
      </c>
      <c r="AF42" s="3">
        <v>0</v>
      </c>
      <c r="AG42" s="7">
        <v>0</v>
      </c>
      <c r="AH42" s="7">
        <v>6900</v>
      </c>
      <c r="AI42" s="59">
        <v>0</v>
      </c>
      <c r="AJ42" s="59">
        <v>0</v>
      </c>
      <c r="AK42" s="59">
        <v>1</v>
      </c>
      <c r="AL42" s="59" t="s">
        <v>163</v>
      </c>
      <c r="AM42" s="59" t="s">
        <v>129</v>
      </c>
      <c r="AN42" s="59">
        <v>8</v>
      </c>
      <c r="AO42" s="59">
        <v>0.8027777777777777</v>
      </c>
      <c r="AP42" s="3">
        <v>0</v>
      </c>
      <c r="AQ42" s="7">
        <v>0</v>
      </c>
      <c r="AR42" s="7">
        <v>4400</v>
      </c>
      <c r="AS42" s="59">
        <v>0</v>
      </c>
      <c r="AT42" s="7">
        <v>0</v>
      </c>
      <c r="AU42" s="59">
        <v>1</v>
      </c>
      <c r="AV42" s="7" t="s">
        <v>163</v>
      </c>
      <c r="AW42" s="44" t="s">
        <v>129</v>
      </c>
      <c r="AX42" s="7">
        <v>8</v>
      </c>
      <c r="AY42" s="44">
        <v>0.8027777777777777</v>
      </c>
      <c r="AZ42" s="3">
        <v>0</v>
      </c>
      <c r="BA42" s="7">
        <v>0</v>
      </c>
      <c r="BB42" s="7">
        <v>8300</v>
      </c>
      <c r="BC42" s="59">
        <v>0</v>
      </c>
      <c r="BD42" s="7">
        <v>0</v>
      </c>
      <c r="BE42" s="59">
        <v>1</v>
      </c>
      <c r="BF42" s="7" t="s">
        <v>163</v>
      </c>
      <c r="BG42" s="44" t="s">
        <v>129</v>
      </c>
      <c r="BH42" s="7">
        <v>8</v>
      </c>
      <c r="BI42" s="44">
        <v>0.8027777777777777</v>
      </c>
      <c r="BJ42" s="3">
        <v>0</v>
      </c>
      <c r="BK42" s="7">
        <v>0</v>
      </c>
      <c r="BL42" s="7">
        <v>5900</v>
      </c>
      <c r="BM42" s="7">
        <v>0</v>
      </c>
      <c r="BN42" s="7">
        <v>0</v>
      </c>
      <c r="BO42" s="59">
        <v>1</v>
      </c>
      <c r="BP42" s="7" t="s">
        <v>163</v>
      </c>
      <c r="BQ42" s="44" t="s">
        <v>129</v>
      </c>
      <c r="BR42" s="7">
        <v>8</v>
      </c>
      <c r="BS42" s="44">
        <v>0.8027777777777777</v>
      </c>
      <c r="BT42" s="45">
        <v>0</v>
      </c>
    </row>
    <row r="43" spans="1:72" x14ac:dyDescent="0.25">
      <c r="A43">
        <v>832</v>
      </c>
      <c r="B43" t="s">
        <v>157</v>
      </c>
      <c r="C43" s="16">
        <v>3000</v>
      </c>
      <c r="D43" s="7">
        <v>3900</v>
      </c>
      <c r="E43" s="7">
        <v>0</v>
      </c>
      <c r="F43" s="7">
        <v>0</v>
      </c>
      <c r="G43" s="59">
        <v>2</v>
      </c>
      <c r="H43" s="7" t="s">
        <v>155</v>
      </c>
      <c r="I43" s="44" t="s">
        <v>139</v>
      </c>
      <c r="J43" s="7">
        <v>5</v>
      </c>
      <c r="K43" s="44">
        <v>0.72430555555555554</v>
      </c>
      <c r="L43" s="3">
        <v>0</v>
      </c>
      <c r="M43" s="7">
        <v>0</v>
      </c>
      <c r="N43" s="7">
        <v>4100</v>
      </c>
      <c r="O43" s="59">
        <v>0</v>
      </c>
      <c r="P43" s="7">
        <v>0</v>
      </c>
      <c r="Q43" s="44">
        <v>1</v>
      </c>
      <c r="R43" s="44" t="s">
        <v>140</v>
      </c>
      <c r="S43" s="44" t="s">
        <v>139</v>
      </c>
      <c r="T43" s="7">
        <v>11</v>
      </c>
      <c r="U43" s="44">
        <v>0.8208333333333333</v>
      </c>
      <c r="V43" s="3">
        <v>0</v>
      </c>
      <c r="W43" s="59">
        <v>0</v>
      </c>
      <c r="X43" s="59">
        <v>6500</v>
      </c>
      <c r="Y43" s="59">
        <v>0</v>
      </c>
      <c r="Z43" s="7">
        <v>0</v>
      </c>
      <c r="AA43" s="7">
        <v>3</v>
      </c>
      <c r="AB43" s="7" t="s">
        <v>137</v>
      </c>
      <c r="AC43" s="44" t="s">
        <v>136</v>
      </c>
      <c r="AD43" s="7">
        <v>10</v>
      </c>
      <c r="AE43" s="44">
        <v>0.80486111111111114</v>
      </c>
      <c r="AF43" s="3">
        <v>0</v>
      </c>
      <c r="AG43" s="7">
        <v>0</v>
      </c>
      <c r="AH43" s="7">
        <v>0</v>
      </c>
      <c r="AI43" s="59">
        <v>0</v>
      </c>
      <c r="AJ43" s="59">
        <v>0</v>
      </c>
      <c r="AK43" s="59">
        <v>0</v>
      </c>
      <c r="AL43" s="59"/>
      <c r="AM43" s="59"/>
      <c r="AN43" s="59">
        <v>0</v>
      </c>
      <c r="AO43" s="59">
        <v>0.45833333333333331</v>
      </c>
      <c r="AP43" s="3">
        <v>0</v>
      </c>
      <c r="AQ43" s="7">
        <v>0</v>
      </c>
      <c r="AR43" s="7">
        <v>0</v>
      </c>
      <c r="AS43" s="59">
        <v>0</v>
      </c>
      <c r="AT43" s="7">
        <v>0</v>
      </c>
      <c r="AU43" s="59">
        <v>0</v>
      </c>
      <c r="AV43" s="7"/>
      <c r="AW43" s="44"/>
      <c r="AX43" s="7">
        <v>0</v>
      </c>
      <c r="AY43" s="44">
        <v>0.45833333333333331</v>
      </c>
      <c r="AZ43" s="3">
        <v>0</v>
      </c>
      <c r="BA43" s="7">
        <v>0</v>
      </c>
      <c r="BB43" s="7">
        <v>0</v>
      </c>
      <c r="BC43" s="59">
        <v>0</v>
      </c>
      <c r="BD43" s="7">
        <v>0</v>
      </c>
      <c r="BE43" s="59">
        <v>0</v>
      </c>
      <c r="BF43" s="7"/>
      <c r="BG43" s="44"/>
      <c r="BH43" s="7">
        <v>0</v>
      </c>
      <c r="BI43" s="44">
        <v>0.45833333333333331</v>
      </c>
      <c r="BJ43" s="3">
        <v>0</v>
      </c>
      <c r="BK43" s="7">
        <v>0</v>
      </c>
      <c r="BL43" s="7">
        <v>0</v>
      </c>
      <c r="BM43" s="7">
        <v>0</v>
      </c>
      <c r="BN43" s="7">
        <v>0</v>
      </c>
      <c r="BO43" s="59">
        <v>0</v>
      </c>
      <c r="BP43" s="7"/>
      <c r="BQ43" s="44"/>
      <c r="BR43" s="7">
        <v>0</v>
      </c>
      <c r="BS43" s="44">
        <v>0.45833333333333331</v>
      </c>
      <c r="BT43" s="45">
        <v>0</v>
      </c>
    </row>
    <row r="44" spans="1:72" x14ac:dyDescent="0.25">
      <c r="A44">
        <v>833</v>
      </c>
      <c r="B44" t="s">
        <v>158</v>
      </c>
      <c r="C44" s="16">
        <v>1200</v>
      </c>
      <c r="D44" s="7">
        <v>7800</v>
      </c>
      <c r="E44" s="7">
        <v>0</v>
      </c>
      <c r="F44" s="7">
        <v>0</v>
      </c>
      <c r="G44" s="59">
        <v>3</v>
      </c>
      <c r="H44" s="7" t="s">
        <v>162</v>
      </c>
      <c r="I44" s="44" t="s">
        <v>213</v>
      </c>
      <c r="J44" s="7">
        <v>6</v>
      </c>
      <c r="K44" s="44">
        <v>0.52847222222222223</v>
      </c>
      <c r="L44" s="3">
        <v>0</v>
      </c>
      <c r="M44" s="7">
        <v>0</v>
      </c>
      <c r="N44" s="7">
        <v>7300</v>
      </c>
      <c r="O44" s="59">
        <v>0</v>
      </c>
      <c r="P44" s="7">
        <v>0</v>
      </c>
      <c r="Q44" s="44">
        <v>3</v>
      </c>
      <c r="R44" s="44" t="s">
        <v>162</v>
      </c>
      <c r="S44" s="44" t="s">
        <v>137</v>
      </c>
      <c r="T44" s="7">
        <v>8</v>
      </c>
      <c r="U44" s="44">
        <v>0.77708333333333324</v>
      </c>
      <c r="V44" s="3">
        <v>0</v>
      </c>
      <c r="W44" s="59">
        <v>0</v>
      </c>
      <c r="X44" s="59">
        <v>0</v>
      </c>
      <c r="Y44" s="59">
        <v>0</v>
      </c>
      <c r="Z44" s="7">
        <v>0</v>
      </c>
      <c r="AA44" s="7">
        <v>0</v>
      </c>
      <c r="AB44" s="7"/>
      <c r="AC44" s="44"/>
      <c r="AD44" s="7">
        <v>0</v>
      </c>
      <c r="AE44" s="44">
        <v>0.45833333333333331</v>
      </c>
      <c r="AF44" s="3">
        <v>0</v>
      </c>
      <c r="AG44" s="7">
        <v>0</v>
      </c>
      <c r="AH44" s="7">
        <v>6600</v>
      </c>
      <c r="AI44" s="59">
        <v>0</v>
      </c>
      <c r="AJ44" s="59">
        <v>0</v>
      </c>
      <c r="AK44" s="59">
        <v>3</v>
      </c>
      <c r="AL44" s="59" t="s">
        <v>162</v>
      </c>
      <c r="AM44" s="59" t="s">
        <v>142</v>
      </c>
      <c r="AN44" s="59">
        <v>12</v>
      </c>
      <c r="AO44" s="59">
        <v>0.82500000000000007</v>
      </c>
      <c r="AP44" s="3">
        <v>0</v>
      </c>
      <c r="AQ44" s="7">
        <v>0</v>
      </c>
      <c r="AR44" s="7">
        <v>4800</v>
      </c>
      <c r="AS44" s="59">
        <v>0</v>
      </c>
      <c r="AT44" s="7">
        <v>0</v>
      </c>
      <c r="AU44" s="59">
        <v>3</v>
      </c>
      <c r="AV44" s="7" t="s">
        <v>162</v>
      </c>
      <c r="AW44" s="44" t="s">
        <v>142</v>
      </c>
      <c r="AX44" s="7">
        <v>12</v>
      </c>
      <c r="AY44" s="44">
        <v>0.82500000000000007</v>
      </c>
      <c r="AZ44" s="3">
        <v>0</v>
      </c>
      <c r="BA44" s="7">
        <v>0</v>
      </c>
      <c r="BB44" s="7">
        <v>3800</v>
      </c>
      <c r="BC44" s="59">
        <v>0</v>
      </c>
      <c r="BD44" s="7">
        <v>0</v>
      </c>
      <c r="BE44" s="59">
        <v>3</v>
      </c>
      <c r="BF44" s="7" t="s">
        <v>162</v>
      </c>
      <c r="BG44" s="44" t="s">
        <v>142</v>
      </c>
      <c r="BH44" s="7">
        <v>12</v>
      </c>
      <c r="BI44" s="44">
        <v>0.82500000000000007</v>
      </c>
      <c r="BJ44" s="3">
        <v>0</v>
      </c>
      <c r="BK44" s="7">
        <v>0</v>
      </c>
      <c r="BL44" s="7">
        <v>8900</v>
      </c>
      <c r="BM44" s="7">
        <v>0</v>
      </c>
      <c r="BN44" s="7">
        <v>0</v>
      </c>
      <c r="BO44" s="59">
        <v>3</v>
      </c>
      <c r="BP44" s="7" t="s">
        <v>162</v>
      </c>
      <c r="BQ44" s="44" t="s">
        <v>142</v>
      </c>
      <c r="BR44" s="7">
        <v>12</v>
      </c>
      <c r="BS44" s="44">
        <v>0.82500000000000007</v>
      </c>
      <c r="BT44" s="45">
        <v>0</v>
      </c>
    </row>
    <row r="45" spans="1:72" x14ac:dyDescent="0.25">
      <c r="A45">
        <v>840</v>
      </c>
      <c r="B45" t="s">
        <v>159</v>
      </c>
      <c r="C45" s="16">
        <v>2000</v>
      </c>
      <c r="D45" s="7">
        <v>4800</v>
      </c>
      <c r="E45" s="7">
        <v>0</v>
      </c>
      <c r="F45" s="7">
        <v>0</v>
      </c>
      <c r="G45" s="59">
        <v>2</v>
      </c>
      <c r="H45" s="7" t="s">
        <v>122</v>
      </c>
      <c r="I45" s="44" t="s">
        <v>151</v>
      </c>
      <c r="J45" s="7">
        <v>2</v>
      </c>
      <c r="K45" s="44">
        <v>0.68958333333333333</v>
      </c>
      <c r="L45" s="3">
        <v>0</v>
      </c>
      <c r="M45" s="7">
        <v>0</v>
      </c>
      <c r="N45" s="7">
        <v>4200</v>
      </c>
      <c r="O45" s="59">
        <v>0</v>
      </c>
      <c r="P45" s="7">
        <v>0</v>
      </c>
      <c r="Q45" s="44">
        <v>1</v>
      </c>
      <c r="R45" s="44" t="s">
        <v>147</v>
      </c>
      <c r="S45" s="44" t="s">
        <v>140</v>
      </c>
      <c r="T45" s="7">
        <v>9</v>
      </c>
      <c r="U45" s="44">
        <v>0.79513888888888884</v>
      </c>
      <c r="V45" s="3">
        <v>0</v>
      </c>
      <c r="W45" s="59">
        <v>0</v>
      </c>
      <c r="X45" s="59">
        <v>0</v>
      </c>
      <c r="Y45" s="59">
        <v>0</v>
      </c>
      <c r="Z45" s="7">
        <v>0</v>
      </c>
      <c r="AA45" s="7">
        <v>0</v>
      </c>
      <c r="AB45" s="7"/>
      <c r="AC45" s="44"/>
      <c r="AD45" s="7">
        <v>0</v>
      </c>
      <c r="AE45" s="44">
        <v>0.45833333333333331</v>
      </c>
      <c r="AF45" s="3">
        <v>0</v>
      </c>
      <c r="AG45" s="7">
        <v>0</v>
      </c>
      <c r="AH45" s="7">
        <v>4900</v>
      </c>
      <c r="AI45" s="59">
        <v>0</v>
      </c>
      <c r="AJ45" s="59">
        <v>0</v>
      </c>
      <c r="AK45" s="59">
        <v>3</v>
      </c>
      <c r="AL45" s="59" t="s">
        <v>142</v>
      </c>
      <c r="AM45" s="59" t="s">
        <v>213</v>
      </c>
      <c r="AN45" s="59">
        <v>14</v>
      </c>
      <c r="AO45" s="59">
        <v>0.85416666666666663</v>
      </c>
      <c r="AP45" s="3">
        <v>0</v>
      </c>
      <c r="AQ45" s="7">
        <v>0</v>
      </c>
      <c r="AR45" s="7">
        <v>9200</v>
      </c>
      <c r="AS45" s="59">
        <v>0</v>
      </c>
      <c r="AT45" s="7">
        <v>0</v>
      </c>
      <c r="AU45" s="59">
        <v>3</v>
      </c>
      <c r="AV45" s="7" t="s">
        <v>142</v>
      </c>
      <c r="AW45" s="44" t="s">
        <v>213</v>
      </c>
      <c r="AX45" s="7">
        <v>14</v>
      </c>
      <c r="AY45" s="44">
        <v>0.85416666666666663</v>
      </c>
      <c r="AZ45" s="3">
        <v>0</v>
      </c>
      <c r="BA45" s="7">
        <v>0</v>
      </c>
      <c r="BB45" s="7">
        <v>7500</v>
      </c>
      <c r="BC45" s="59">
        <v>0</v>
      </c>
      <c r="BD45" s="7">
        <v>0</v>
      </c>
      <c r="BE45" s="59">
        <v>3</v>
      </c>
      <c r="BF45" s="7" t="s">
        <v>142</v>
      </c>
      <c r="BG45" s="44" t="s">
        <v>213</v>
      </c>
      <c r="BH45" s="7">
        <v>14</v>
      </c>
      <c r="BI45" s="44">
        <v>0.85416666666666663</v>
      </c>
      <c r="BJ45" s="3">
        <v>0</v>
      </c>
      <c r="BK45" s="7">
        <v>0</v>
      </c>
      <c r="BL45" s="7">
        <v>5800</v>
      </c>
      <c r="BM45" s="7">
        <v>0</v>
      </c>
      <c r="BN45" s="7">
        <v>0</v>
      </c>
      <c r="BO45" s="59">
        <v>3</v>
      </c>
      <c r="BP45" s="7" t="s">
        <v>142</v>
      </c>
      <c r="BQ45" s="44" t="s">
        <v>213</v>
      </c>
      <c r="BR45" s="7">
        <v>14</v>
      </c>
      <c r="BS45" s="44">
        <v>0.85416666666666663</v>
      </c>
      <c r="BT45" s="45">
        <v>0</v>
      </c>
    </row>
    <row r="46" spans="1:72" x14ac:dyDescent="0.25">
      <c r="A46">
        <v>841</v>
      </c>
      <c r="B46" t="s">
        <v>160</v>
      </c>
      <c r="C46" s="16">
        <v>2500</v>
      </c>
      <c r="D46" s="7">
        <v>4500</v>
      </c>
      <c r="E46" s="7">
        <v>0</v>
      </c>
      <c r="F46" s="7">
        <v>0</v>
      </c>
      <c r="G46" s="59">
        <v>2</v>
      </c>
      <c r="H46" s="7" t="s">
        <v>139</v>
      </c>
      <c r="I46" s="44" t="s">
        <v>141</v>
      </c>
      <c r="J46" s="7">
        <v>7</v>
      </c>
      <c r="K46" s="44">
        <v>0.74722222222222223</v>
      </c>
      <c r="L46" s="3">
        <v>0</v>
      </c>
      <c r="M46" s="7">
        <v>0</v>
      </c>
      <c r="N46" s="7">
        <v>7700</v>
      </c>
      <c r="O46" s="59">
        <v>0</v>
      </c>
      <c r="P46" s="7">
        <v>0</v>
      </c>
      <c r="Q46" s="44">
        <v>1</v>
      </c>
      <c r="R46" s="44" t="s">
        <v>139</v>
      </c>
      <c r="S46" s="44" t="s">
        <v>141</v>
      </c>
      <c r="T46" s="7">
        <v>13</v>
      </c>
      <c r="U46" s="44">
        <v>0.84375</v>
      </c>
      <c r="V46" s="3">
        <v>0</v>
      </c>
      <c r="W46" s="59">
        <v>0</v>
      </c>
      <c r="X46" s="59">
        <v>0</v>
      </c>
      <c r="Y46" s="59">
        <v>0</v>
      </c>
      <c r="Z46" s="7">
        <v>0</v>
      </c>
      <c r="AA46" s="7">
        <v>0</v>
      </c>
      <c r="AB46" s="7"/>
      <c r="AC46" s="44"/>
      <c r="AD46" s="7">
        <v>0</v>
      </c>
      <c r="AE46" s="44">
        <v>0.45833333333333331</v>
      </c>
      <c r="AF46" s="3">
        <v>0</v>
      </c>
      <c r="AG46" s="7">
        <v>0</v>
      </c>
      <c r="AH46" s="7">
        <v>0</v>
      </c>
      <c r="AI46" s="59">
        <v>0</v>
      </c>
      <c r="AJ46" s="59">
        <v>0</v>
      </c>
      <c r="AK46" s="59">
        <v>0</v>
      </c>
      <c r="AL46" s="59"/>
      <c r="AM46" s="59"/>
      <c r="AN46" s="59">
        <v>0</v>
      </c>
      <c r="AO46" s="59">
        <v>0.45833333333333331</v>
      </c>
      <c r="AP46" s="3">
        <v>0</v>
      </c>
      <c r="AQ46" s="7">
        <v>0</v>
      </c>
      <c r="AR46" s="7">
        <v>0</v>
      </c>
      <c r="AS46" s="59">
        <v>0</v>
      </c>
      <c r="AT46" s="7">
        <v>0</v>
      </c>
      <c r="AU46" s="59">
        <v>0</v>
      </c>
      <c r="AV46" s="7"/>
      <c r="AW46" s="44"/>
      <c r="AX46" s="7">
        <v>0</v>
      </c>
      <c r="AY46" s="44">
        <v>0.45833333333333331</v>
      </c>
      <c r="AZ46" s="3">
        <v>0</v>
      </c>
      <c r="BA46" s="7">
        <v>0</v>
      </c>
      <c r="BB46" s="7">
        <v>0</v>
      </c>
      <c r="BC46" s="59">
        <v>0</v>
      </c>
      <c r="BD46" s="7">
        <v>0</v>
      </c>
      <c r="BE46" s="59">
        <v>0</v>
      </c>
      <c r="BF46" s="7"/>
      <c r="BG46" s="44"/>
      <c r="BH46" s="7">
        <v>0</v>
      </c>
      <c r="BI46" s="44">
        <v>0.45833333333333331</v>
      </c>
      <c r="BJ46" s="3">
        <v>0</v>
      </c>
      <c r="BK46" s="7">
        <v>0</v>
      </c>
      <c r="BL46" s="7">
        <v>0</v>
      </c>
      <c r="BM46" s="7">
        <v>0</v>
      </c>
      <c r="BN46" s="7">
        <v>0</v>
      </c>
      <c r="BO46" s="59">
        <v>0</v>
      </c>
      <c r="BP46" s="7"/>
      <c r="BQ46" s="44"/>
      <c r="BR46" s="7">
        <v>0</v>
      </c>
      <c r="BS46" s="44">
        <v>0.45833333333333331</v>
      </c>
      <c r="BT46" s="45">
        <v>0</v>
      </c>
    </row>
    <row r="47" spans="1:72" x14ac:dyDescent="0.25">
      <c r="A47">
        <v>842</v>
      </c>
      <c r="B47" t="s">
        <v>161</v>
      </c>
      <c r="C47" s="16">
        <v>2400</v>
      </c>
      <c r="D47" s="7">
        <v>6000</v>
      </c>
      <c r="E47" s="7">
        <v>0</v>
      </c>
      <c r="F47" s="7">
        <v>0</v>
      </c>
      <c r="G47" s="59">
        <v>3</v>
      </c>
      <c r="H47" s="7" t="s">
        <v>165</v>
      </c>
      <c r="I47" s="44" t="s">
        <v>143</v>
      </c>
      <c r="J47" s="7">
        <v>3</v>
      </c>
      <c r="K47" s="44">
        <v>0.48749999999999999</v>
      </c>
      <c r="L47" s="3">
        <v>0</v>
      </c>
      <c r="M47" s="7">
        <v>0</v>
      </c>
      <c r="N47" s="7">
        <v>2900</v>
      </c>
      <c r="O47" s="59">
        <v>0</v>
      </c>
      <c r="P47" s="7">
        <v>0</v>
      </c>
      <c r="Q47" s="44">
        <v>2</v>
      </c>
      <c r="R47" s="44" t="s">
        <v>165</v>
      </c>
      <c r="S47" s="44" t="s">
        <v>134</v>
      </c>
      <c r="T47" s="7">
        <v>6</v>
      </c>
      <c r="U47" s="44">
        <v>0.8208333333333333</v>
      </c>
      <c r="V47" s="3">
        <v>0</v>
      </c>
      <c r="W47" s="59">
        <v>0</v>
      </c>
      <c r="X47" s="59">
        <v>5700</v>
      </c>
      <c r="Y47" s="59">
        <v>0</v>
      </c>
      <c r="Z47" s="7">
        <v>0</v>
      </c>
      <c r="AA47" s="7">
        <v>2</v>
      </c>
      <c r="AB47" s="7" t="s">
        <v>165</v>
      </c>
      <c r="AC47" s="44" t="s">
        <v>134</v>
      </c>
      <c r="AD47" s="7">
        <v>7</v>
      </c>
      <c r="AE47" s="44">
        <v>0.82708333333333339</v>
      </c>
      <c r="AF47" s="3">
        <v>0</v>
      </c>
      <c r="AG47" s="7">
        <v>0</v>
      </c>
      <c r="AH47" s="7">
        <v>0</v>
      </c>
      <c r="AI47" s="59">
        <v>0</v>
      </c>
      <c r="AJ47" s="59">
        <v>0</v>
      </c>
      <c r="AK47" s="59">
        <v>0</v>
      </c>
      <c r="AL47" s="59"/>
      <c r="AM47" s="59"/>
      <c r="AN47" s="59">
        <v>0</v>
      </c>
      <c r="AO47" s="59">
        <v>0.45833333333333331</v>
      </c>
      <c r="AP47" s="3">
        <v>0</v>
      </c>
      <c r="AQ47" s="7">
        <v>0</v>
      </c>
      <c r="AR47" s="7">
        <v>0</v>
      </c>
      <c r="AS47" s="59">
        <v>0</v>
      </c>
      <c r="AT47" s="7">
        <v>0</v>
      </c>
      <c r="AU47" s="59">
        <v>0</v>
      </c>
      <c r="AV47" s="7"/>
      <c r="AW47" s="44"/>
      <c r="AX47" s="7">
        <v>0</v>
      </c>
      <c r="AY47" s="44">
        <v>0.45833333333333331</v>
      </c>
      <c r="AZ47" s="3">
        <v>0</v>
      </c>
      <c r="BA47" s="7">
        <v>0</v>
      </c>
      <c r="BB47" s="7">
        <v>0</v>
      </c>
      <c r="BC47" s="59">
        <v>0</v>
      </c>
      <c r="BD47" s="7">
        <v>0</v>
      </c>
      <c r="BE47" s="59">
        <v>0</v>
      </c>
      <c r="BF47" s="7"/>
      <c r="BG47" s="44"/>
      <c r="BH47" s="7">
        <v>0</v>
      </c>
      <c r="BI47" s="44">
        <v>0.45833333333333331</v>
      </c>
      <c r="BJ47" s="3">
        <v>0</v>
      </c>
      <c r="BK47" s="7">
        <v>0</v>
      </c>
      <c r="BL47" s="7">
        <v>0</v>
      </c>
      <c r="BM47" s="7">
        <v>0</v>
      </c>
      <c r="BN47" s="7">
        <v>0</v>
      </c>
      <c r="BO47" s="59">
        <v>0</v>
      </c>
      <c r="BP47" s="7"/>
      <c r="BQ47" s="44"/>
      <c r="BR47" s="7">
        <v>0</v>
      </c>
      <c r="BS47" s="44">
        <v>0.45833333333333331</v>
      </c>
      <c r="BT47" s="45">
        <v>0</v>
      </c>
    </row>
    <row r="48" spans="1:72" x14ac:dyDescent="0.25">
      <c r="A48">
        <v>847</v>
      </c>
      <c r="B48" t="s">
        <v>162</v>
      </c>
      <c r="C48" s="16">
        <v>1700</v>
      </c>
      <c r="D48" s="7">
        <v>5100</v>
      </c>
      <c r="E48" s="7">
        <v>0</v>
      </c>
      <c r="F48" s="7">
        <v>0</v>
      </c>
      <c r="G48" s="59">
        <v>3</v>
      </c>
      <c r="H48" s="7" t="s">
        <v>143</v>
      </c>
      <c r="I48" s="44" t="s">
        <v>158</v>
      </c>
      <c r="J48" s="7">
        <v>5</v>
      </c>
      <c r="K48" s="44">
        <v>0.51527777777777783</v>
      </c>
      <c r="L48" s="3">
        <v>0</v>
      </c>
      <c r="M48" s="7">
        <v>0</v>
      </c>
      <c r="N48" s="7">
        <v>5500</v>
      </c>
      <c r="O48" s="59">
        <v>0</v>
      </c>
      <c r="P48" s="7">
        <v>0</v>
      </c>
      <c r="Q48" s="44">
        <v>3</v>
      </c>
      <c r="R48" s="44" t="s">
        <v>148</v>
      </c>
      <c r="S48" s="44" t="s">
        <v>158</v>
      </c>
      <c r="T48" s="7">
        <v>7</v>
      </c>
      <c r="U48" s="44">
        <v>0.76458333333333339</v>
      </c>
      <c r="V48" s="3">
        <v>0</v>
      </c>
      <c r="W48" s="59">
        <v>0</v>
      </c>
      <c r="X48" s="59">
        <v>0</v>
      </c>
      <c r="Y48" s="59">
        <v>0</v>
      </c>
      <c r="Z48" s="7">
        <v>0</v>
      </c>
      <c r="AA48" s="7">
        <v>0</v>
      </c>
      <c r="AB48" s="7"/>
      <c r="AC48" s="44"/>
      <c r="AD48" s="7">
        <v>0</v>
      </c>
      <c r="AE48" s="44">
        <v>0.45833333333333331</v>
      </c>
      <c r="AF48" s="3">
        <v>0</v>
      </c>
      <c r="AG48" s="7">
        <v>0</v>
      </c>
      <c r="AH48" s="7">
        <v>2700</v>
      </c>
      <c r="AI48" s="59">
        <v>0</v>
      </c>
      <c r="AJ48" s="59">
        <v>0</v>
      </c>
      <c r="AK48" s="59">
        <v>3</v>
      </c>
      <c r="AL48" s="59" t="s">
        <v>150</v>
      </c>
      <c r="AM48" s="59" t="s">
        <v>158</v>
      </c>
      <c r="AN48" s="59">
        <v>11</v>
      </c>
      <c r="AO48" s="59">
        <v>0.8125</v>
      </c>
      <c r="AP48" s="3">
        <v>0</v>
      </c>
      <c r="AQ48" s="7">
        <v>0</v>
      </c>
      <c r="AR48" s="7">
        <v>5600</v>
      </c>
      <c r="AS48" s="59">
        <v>0</v>
      </c>
      <c r="AT48" s="7">
        <v>0</v>
      </c>
      <c r="AU48" s="59">
        <v>3</v>
      </c>
      <c r="AV48" s="7" t="s">
        <v>150</v>
      </c>
      <c r="AW48" s="44" t="s">
        <v>158</v>
      </c>
      <c r="AX48" s="7">
        <v>11</v>
      </c>
      <c r="AY48" s="44">
        <v>0.8125</v>
      </c>
      <c r="AZ48" s="3">
        <v>0</v>
      </c>
      <c r="BA48" s="7">
        <v>0</v>
      </c>
      <c r="BB48" s="7">
        <v>3400</v>
      </c>
      <c r="BC48" s="59">
        <v>0</v>
      </c>
      <c r="BD48" s="7">
        <v>0</v>
      </c>
      <c r="BE48" s="59">
        <v>3</v>
      </c>
      <c r="BF48" s="7" t="s">
        <v>150</v>
      </c>
      <c r="BG48" s="44" t="s">
        <v>158</v>
      </c>
      <c r="BH48" s="7">
        <v>11</v>
      </c>
      <c r="BI48" s="44">
        <v>0.8125</v>
      </c>
      <c r="BJ48" s="3">
        <v>0</v>
      </c>
      <c r="BK48" s="7">
        <v>0</v>
      </c>
      <c r="BL48" s="7">
        <v>5900</v>
      </c>
      <c r="BM48" s="7">
        <v>0</v>
      </c>
      <c r="BN48" s="7">
        <v>0</v>
      </c>
      <c r="BO48" s="59">
        <v>3</v>
      </c>
      <c r="BP48" s="7" t="s">
        <v>150</v>
      </c>
      <c r="BQ48" s="44" t="s">
        <v>158</v>
      </c>
      <c r="BR48" s="7">
        <v>11</v>
      </c>
      <c r="BS48" s="44">
        <v>0.8125</v>
      </c>
      <c r="BT48" s="45">
        <v>0</v>
      </c>
    </row>
    <row r="49" spans="1:72" x14ac:dyDescent="0.25">
      <c r="A49">
        <v>877</v>
      </c>
      <c r="B49" t="s">
        <v>163</v>
      </c>
      <c r="C49" s="16">
        <v>8000</v>
      </c>
      <c r="D49" s="7">
        <v>0</v>
      </c>
      <c r="E49" s="7">
        <v>0</v>
      </c>
      <c r="F49" s="7">
        <v>1600</v>
      </c>
      <c r="G49" s="59">
        <v>0</v>
      </c>
      <c r="H49" s="7"/>
      <c r="I49" s="44"/>
      <c r="J49" s="7">
        <v>0</v>
      </c>
      <c r="K49" s="44">
        <v>0.45833333333333331</v>
      </c>
      <c r="L49" s="3">
        <v>0</v>
      </c>
      <c r="M49" s="7">
        <v>1600</v>
      </c>
      <c r="N49" s="7">
        <v>7800</v>
      </c>
      <c r="O49" s="59">
        <v>0</v>
      </c>
      <c r="P49" s="7">
        <v>0</v>
      </c>
      <c r="Q49" s="44">
        <v>1</v>
      </c>
      <c r="R49" s="44" t="s">
        <v>166</v>
      </c>
      <c r="S49" s="44" t="s">
        <v>156</v>
      </c>
      <c r="T49" s="7">
        <v>5</v>
      </c>
      <c r="U49" s="44">
        <v>0.73125000000000007</v>
      </c>
      <c r="V49" s="3">
        <v>0</v>
      </c>
      <c r="W49" s="59">
        <v>0</v>
      </c>
      <c r="X49" s="59">
        <v>7100</v>
      </c>
      <c r="Y49" s="59">
        <v>0</v>
      </c>
      <c r="Z49" s="7">
        <v>0</v>
      </c>
      <c r="AA49" s="7">
        <v>1</v>
      </c>
      <c r="AB49" s="7" t="s">
        <v>166</v>
      </c>
      <c r="AC49" s="44" t="s">
        <v>156</v>
      </c>
      <c r="AD49" s="7">
        <v>7</v>
      </c>
      <c r="AE49" s="44">
        <v>0.77916666666666667</v>
      </c>
      <c r="AF49" s="3">
        <v>0</v>
      </c>
      <c r="AG49" s="7">
        <v>0</v>
      </c>
      <c r="AH49" s="7">
        <v>6600</v>
      </c>
      <c r="AI49" s="59">
        <v>0</v>
      </c>
      <c r="AJ49" s="59">
        <v>0</v>
      </c>
      <c r="AK49" s="59">
        <v>1</v>
      </c>
      <c r="AL49" s="59" t="s">
        <v>166</v>
      </c>
      <c r="AM49" s="59" t="s">
        <v>156</v>
      </c>
      <c r="AN49" s="59">
        <v>7</v>
      </c>
      <c r="AO49" s="59">
        <v>0.77916666666666667</v>
      </c>
      <c r="AP49" s="3">
        <v>0</v>
      </c>
      <c r="AQ49" s="7">
        <v>0</v>
      </c>
      <c r="AR49" s="7">
        <v>3500</v>
      </c>
      <c r="AS49" s="59">
        <v>0</v>
      </c>
      <c r="AT49" s="7">
        <v>0</v>
      </c>
      <c r="AU49" s="59">
        <v>1</v>
      </c>
      <c r="AV49" s="7" t="s">
        <v>166</v>
      </c>
      <c r="AW49" s="44" t="s">
        <v>156</v>
      </c>
      <c r="AX49" s="7">
        <v>7</v>
      </c>
      <c r="AY49" s="44">
        <v>0.77916666666666667</v>
      </c>
      <c r="AZ49" s="3">
        <v>0</v>
      </c>
      <c r="BA49" s="7">
        <v>0</v>
      </c>
      <c r="BB49" s="7">
        <v>9700</v>
      </c>
      <c r="BC49" s="59">
        <v>0</v>
      </c>
      <c r="BD49" s="7">
        <v>0</v>
      </c>
      <c r="BE49" s="59">
        <v>1</v>
      </c>
      <c r="BF49" s="7" t="s">
        <v>166</v>
      </c>
      <c r="BG49" s="44" t="s">
        <v>156</v>
      </c>
      <c r="BH49" s="7">
        <v>7</v>
      </c>
      <c r="BI49" s="44">
        <v>0.77916666666666667</v>
      </c>
      <c r="BJ49" s="3">
        <v>0</v>
      </c>
      <c r="BK49" s="7">
        <v>0</v>
      </c>
      <c r="BL49" s="7">
        <v>2400</v>
      </c>
      <c r="BM49" s="7">
        <v>0</v>
      </c>
      <c r="BN49" s="7">
        <v>0</v>
      </c>
      <c r="BO49" s="59">
        <v>1</v>
      </c>
      <c r="BP49" s="7" t="s">
        <v>166</v>
      </c>
      <c r="BQ49" s="44" t="s">
        <v>156</v>
      </c>
      <c r="BR49" s="7">
        <v>7</v>
      </c>
      <c r="BS49" s="44">
        <v>0.77916666666666667</v>
      </c>
      <c r="BT49" s="45">
        <v>0</v>
      </c>
    </row>
    <row r="50" spans="1:72" x14ac:dyDescent="0.25">
      <c r="A50">
        <v>898</v>
      </c>
      <c r="B50" t="s">
        <v>164</v>
      </c>
      <c r="C50" s="16">
        <v>11000</v>
      </c>
      <c r="D50" s="7">
        <v>0</v>
      </c>
      <c r="E50" s="7">
        <v>0</v>
      </c>
      <c r="F50" s="7">
        <v>7500</v>
      </c>
      <c r="G50" s="59">
        <v>0</v>
      </c>
      <c r="H50" s="7"/>
      <c r="I50" s="44"/>
      <c r="J50" s="7">
        <v>0</v>
      </c>
      <c r="K50" s="44">
        <v>0.45833333333333331</v>
      </c>
      <c r="L50" s="3">
        <v>0</v>
      </c>
      <c r="M50" s="7">
        <v>7500</v>
      </c>
      <c r="N50" s="7">
        <v>900</v>
      </c>
      <c r="O50" s="59">
        <v>0</v>
      </c>
      <c r="P50" s="7">
        <v>0</v>
      </c>
      <c r="Q50" s="44">
        <v>1</v>
      </c>
      <c r="R50" s="44" t="s">
        <v>156</v>
      </c>
      <c r="S50" s="44" t="s">
        <v>147</v>
      </c>
      <c r="T50" s="7">
        <v>7</v>
      </c>
      <c r="U50" s="44">
        <v>0.76874999999999993</v>
      </c>
      <c r="V50" s="3">
        <v>0</v>
      </c>
      <c r="W50" s="59">
        <v>0</v>
      </c>
      <c r="X50" s="59">
        <v>9200</v>
      </c>
      <c r="Y50" s="59">
        <v>0</v>
      </c>
      <c r="Z50" s="7">
        <v>0</v>
      </c>
      <c r="AA50" s="7">
        <v>1</v>
      </c>
      <c r="AB50" s="7" t="s">
        <v>129</v>
      </c>
      <c r="AC50" s="44" t="s">
        <v>147</v>
      </c>
      <c r="AD50" s="7">
        <v>10</v>
      </c>
      <c r="AE50" s="44">
        <v>0.82777777777777783</v>
      </c>
      <c r="AF50" s="3">
        <v>0</v>
      </c>
      <c r="AG50" s="7">
        <v>0</v>
      </c>
      <c r="AH50" s="7">
        <v>3300</v>
      </c>
      <c r="AI50" s="59">
        <v>0</v>
      </c>
      <c r="AJ50" s="59">
        <v>0</v>
      </c>
      <c r="AK50" s="59">
        <v>1</v>
      </c>
      <c r="AL50" s="59" t="s">
        <v>129</v>
      </c>
      <c r="AM50" s="59" t="s">
        <v>147</v>
      </c>
      <c r="AN50" s="59">
        <v>10</v>
      </c>
      <c r="AO50" s="59">
        <v>0.82777777777777783</v>
      </c>
      <c r="AP50" s="3">
        <v>0</v>
      </c>
      <c r="AQ50" s="7">
        <v>0</v>
      </c>
      <c r="AR50" s="7">
        <v>2200</v>
      </c>
      <c r="AS50" s="59">
        <v>0</v>
      </c>
      <c r="AT50" s="7">
        <v>0</v>
      </c>
      <c r="AU50" s="59">
        <v>1</v>
      </c>
      <c r="AV50" s="7" t="s">
        <v>129</v>
      </c>
      <c r="AW50" s="44" t="s">
        <v>147</v>
      </c>
      <c r="AX50" s="7">
        <v>10</v>
      </c>
      <c r="AY50" s="44">
        <v>0.82777777777777783</v>
      </c>
      <c r="AZ50" s="3">
        <v>0</v>
      </c>
      <c r="BA50" s="7">
        <v>0</v>
      </c>
      <c r="BB50" s="7">
        <v>5900</v>
      </c>
      <c r="BC50" s="59">
        <v>0</v>
      </c>
      <c r="BD50" s="7">
        <v>0</v>
      </c>
      <c r="BE50" s="59">
        <v>1</v>
      </c>
      <c r="BF50" s="7" t="s">
        <v>129</v>
      </c>
      <c r="BG50" s="44" t="s">
        <v>147</v>
      </c>
      <c r="BH50" s="7">
        <v>10</v>
      </c>
      <c r="BI50" s="44">
        <v>0.82777777777777783</v>
      </c>
      <c r="BJ50" s="3">
        <v>0</v>
      </c>
      <c r="BK50" s="7">
        <v>0</v>
      </c>
      <c r="BL50" s="7">
        <v>5800</v>
      </c>
      <c r="BM50" s="7">
        <v>0</v>
      </c>
      <c r="BN50" s="7">
        <v>0</v>
      </c>
      <c r="BO50" s="59">
        <v>1</v>
      </c>
      <c r="BP50" s="7" t="s">
        <v>129</v>
      </c>
      <c r="BQ50" s="44" t="s">
        <v>147</v>
      </c>
      <c r="BR50" s="7">
        <v>10</v>
      </c>
      <c r="BS50" s="44">
        <v>0.82777777777777783</v>
      </c>
      <c r="BT50" s="45">
        <v>0</v>
      </c>
    </row>
    <row r="51" spans="1:72" x14ac:dyDescent="0.25">
      <c r="A51">
        <v>899</v>
      </c>
      <c r="B51" t="s">
        <v>165</v>
      </c>
      <c r="C51" s="16">
        <v>6000</v>
      </c>
      <c r="D51" s="7">
        <v>600</v>
      </c>
      <c r="E51" s="7">
        <v>0</v>
      </c>
      <c r="F51" s="7">
        <v>0</v>
      </c>
      <c r="G51" s="59">
        <v>3</v>
      </c>
      <c r="H51" s="7" t="s">
        <v>153</v>
      </c>
      <c r="I51" s="44" t="s">
        <v>161</v>
      </c>
      <c r="J51" s="7">
        <v>2</v>
      </c>
      <c r="K51" s="44">
        <v>0.47500000000000003</v>
      </c>
      <c r="L51" s="3">
        <v>0</v>
      </c>
      <c r="M51" s="7">
        <v>0</v>
      </c>
      <c r="N51" s="7">
        <v>4700</v>
      </c>
      <c r="O51" s="59">
        <v>0</v>
      </c>
      <c r="P51" s="7">
        <v>0</v>
      </c>
      <c r="Q51" s="44">
        <v>2</v>
      </c>
      <c r="R51" s="44" t="s">
        <v>153</v>
      </c>
      <c r="S51" s="44" t="s">
        <v>161</v>
      </c>
      <c r="T51" s="7">
        <v>5</v>
      </c>
      <c r="U51" s="44">
        <v>0.80833333333333324</v>
      </c>
      <c r="V51" s="3">
        <v>0</v>
      </c>
      <c r="W51" s="59">
        <v>0</v>
      </c>
      <c r="X51" s="59">
        <v>8400</v>
      </c>
      <c r="Y51" s="59">
        <v>0</v>
      </c>
      <c r="Z51" s="7">
        <v>0</v>
      </c>
      <c r="AA51" s="7">
        <v>2</v>
      </c>
      <c r="AB51" s="7" t="s">
        <v>153</v>
      </c>
      <c r="AC51" s="44" t="s">
        <v>161</v>
      </c>
      <c r="AD51" s="7">
        <v>6</v>
      </c>
      <c r="AE51" s="44">
        <v>0.81527777777777777</v>
      </c>
      <c r="AF51" s="3">
        <v>0</v>
      </c>
      <c r="AG51" s="7">
        <v>0</v>
      </c>
      <c r="AH51" s="7">
        <v>8000</v>
      </c>
      <c r="AI51" s="59">
        <v>0</v>
      </c>
      <c r="AJ51" s="59">
        <v>0</v>
      </c>
      <c r="AK51" s="59">
        <v>2</v>
      </c>
      <c r="AL51" s="59" t="s">
        <v>153</v>
      </c>
      <c r="AM51" s="59" t="s">
        <v>213</v>
      </c>
      <c r="AN51" s="59">
        <v>7</v>
      </c>
      <c r="AO51" s="59">
        <v>0.85416666666666663</v>
      </c>
      <c r="AP51" s="3">
        <v>0</v>
      </c>
      <c r="AQ51" s="7">
        <v>0</v>
      </c>
      <c r="AR51" s="7">
        <v>7800</v>
      </c>
      <c r="AS51" s="59">
        <v>0</v>
      </c>
      <c r="AT51" s="7">
        <v>0</v>
      </c>
      <c r="AU51" s="59">
        <v>2</v>
      </c>
      <c r="AV51" s="7" t="s">
        <v>153</v>
      </c>
      <c r="AW51" s="44" t="s">
        <v>213</v>
      </c>
      <c r="AX51" s="7">
        <v>7</v>
      </c>
      <c r="AY51" s="44">
        <v>0.85416666666666663</v>
      </c>
      <c r="AZ51" s="3">
        <v>0</v>
      </c>
      <c r="BA51" s="7">
        <v>0</v>
      </c>
      <c r="BB51" s="7">
        <v>6000</v>
      </c>
      <c r="BC51" s="59">
        <v>0</v>
      </c>
      <c r="BD51" s="7">
        <v>0</v>
      </c>
      <c r="BE51" s="59">
        <v>2</v>
      </c>
      <c r="BF51" s="7" t="s">
        <v>153</v>
      </c>
      <c r="BG51" s="44" t="s">
        <v>213</v>
      </c>
      <c r="BH51" s="7">
        <v>7</v>
      </c>
      <c r="BI51" s="44">
        <v>0.85416666666666663</v>
      </c>
      <c r="BJ51" s="3">
        <v>0</v>
      </c>
      <c r="BK51" s="7">
        <v>0</v>
      </c>
      <c r="BL51" s="7">
        <v>8400</v>
      </c>
      <c r="BM51" s="7">
        <v>0</v>
      </c>
      <c r="BN51" s="7">
        <v>0</v>
      </c>
      <c r="BO51" s="59">
        <v>2</v>
      </c>
      <c r="BP51" s="7" t="s">
        <v>153</v>
      </c>
      <c r="BQ51" s="44" t="s">
        <v>213</v>
      </c>
      <c r="BR51" s="7">
        <v>7</v>
      </c>
      <c r="BS51" s="44">
        <v>0.85416666666666663</v>
      </c>
      <c r="BT51" s="45">
        <v>0</v>
      </c>
    </row>
    <row r="52" spans="1:72" ht="15.75" thickBot="1" x14ac:dyDescent="0.3">
      <c r="A52">
        <v>1912</v>
      </c>
      <c r="B52" t="s">
        <v>166</v>
      </c>
      <c r="C52" s="17">
        <v>1500</v>
      </c>
      <c r="D52" s="46">
        <v>1600</v>
      </c>
      <c r="E52" s="46">
        <v>0</v>
      </c>
      <c r="F52" s="46">
        <v>0</v>
      </c>
      <c r="G52" s="60">
        <v>1</v>
      </c>
      <c r="H52" s="46" t="s">
        <v>121</v>
      </c>
      <c r="I52" s="47" t="s">
        <v>156</v>
      </c>
      <c r="J52" s="46">
        <v>5</v>
      </c>
      <c r="K52" s="47">
        <v>0.78819444444444453</v>
      </c>
      <c r="L52" s="52">
        <v>0</v>
      </c>
      <c r="M52" s="46">
        <v>0</v>
      </c>
      <c r="N52" s="46">
        <v>4600</v>
      </c>
      <c r="O52" s="60">
        <v>0</v>
      </c>
      <c r="P52" s="46">
        <v>0</v>
      </c>
      <c r="Q52" s="47">
        <v>1</v>
      </c>
      <c r="R52" s="47" t="s">
        <v>118</v>
      </c>
      <c r="S52" s="47" t="s">
        <v>163</v>
      </c>
      <c r="T52" s="46">
        <v>4</v>
      </c>
      <c r="U52" s="47">
        <v>0.71527777777777779</v>
      </c>
      <c r="V52" s="52">
        <v>0</v>
      </c>
      <c r="W52" s="60">
        <v>0</v>
      </c>
      <c r="X52" s="60">
        <v>7700</v>
      </c>
      <c r="Y52" s="60">
        <v>0</v>
      </c>
      <c r="Z52" s="46">
        <v>0</v>
      </c>
      <c r="AA52" s="46">
        <v>1</v>
      </c>
      <c r="AB52" s="46" t="s">
        <v>144</v>
      </c>
      <c r="AC52" s="47" t="s">
        <v>163</v>
      </c>
      <c r="AD52" s="46">
        <v>6</v>
      </c>
      <c r="AE52" s="47">
        <v>0.7631944444444444</v>
      </c>
      <c r="AF52" s="52">
        <v>0</v>
      </c>
      <c r="AG52" s="46">
        <v>0</v>
      </c>
      <c r="AH52" s="46">
        <v>2400</v>
      </c>
      <c r="AI52" s="60">
        <v>0</v>
      </c>
      <c r="AJ52" s="60">
        <v>0</v>
      </c>
      <c r="AK52" s="60">
        <v>1</v>
      </c>
      <c r="AL52" s="60" t="s">
        <v>144</v>
      </c>
      <c r="AM52" s="60" t="s">
        <v>163</v>
      </c>
      <c r="AN52" s="60">
        <v>6</v>
      </c>
      <c r="AO52" s="60">
        <v>0.7631944444444444</v>
      </c>
      <c r="AP52" s="52">
        <v>0</v>
      </c>
      <c r="AQ52" s="46">
        <v>0</v>
      </c>
      <c r="AR52" s="46">
        <v>5300</v>
      </c>
      <c r="AS52" s="60">
        <v>0</v>
      </c>
      <c r="AT52" s="46">
        <v>0</v>
      </c>
      <c r="AU52" s="60">
        <v>1</v>
      </c>
      <c r="AV52" s="46" t="s">
        <v>144</v>
      </c>
      <c r="AW52" s="47" t="s">
        <v>163</v>
      </c>
      <c r="AX52" s="46">
        <v>6</v>
      </c>
      <c r="AY52" s="47">
        <v>0.7631944444444444</v>
      </c>
      <c r="AZ52" s="52">
        <v>0</v>
      </c>
      <c r="BA52" s="46">
        <v>0</v>
      </c>
      <c r="BB52" s="46">
        <v>2300</v>
      </c>
      <c r="BC52" s="60">
        <v>0</v>
      </c>
      <c r="BD52" s="46">
        <v>0</v>
      </c>
      <c r="BE52" s="60">
        <v>1</v>
      </c>
      <c r="BF52" s="46" t="s">
        <v>144</v>
      </c>
      <c r="BG52" s="47" t="s">
        <v>163</v>
      </c>
      <c r="BH52" s="46">
        <v>6</v>
      </c>
      <c r="BI52" s="47">
        <v>0.7631944444444444</v>
      </c>
      <c r="BJ52" s="52">
        <v>0</v>
      </c>
      <c r="BK52" s="46">
        <v>0</v>
      </c>
      <c r="BL52" s="46">
        <v>2900</v>
      </c>
      <c r="BM52" s="46">
        <v>0</v>
      </c>
      <c r="BN52" s="46">
        <v>0</v>
      </c>
      <c r="BO52" s="60">
        <v>1</v>
      </c>
      <c r="BP52" s="46" t="s">
        <v>144</v>
      </c>
      <c r="BQ52" s="47" t="s">
        <v>163</v>
      </c>
      <c r="BR52" s="46">
        <v>6</v>
      </c>
      <c r="BS52" s="47">
        <v>0.7631944444444444</v>
      </c>
      <c r="BT52" s="48">
        <v>0</v>
      </c>
    </row>
    <row r="59" spans="1:72" x14ac:dyDescent="0.25">
      <c r="AS59"/>
      <c r="AU59" s="6"/>
    </row>
    <row r="60" spans="1:72" x14ac:dyDescent="0.25">
      <c r="AS60"/>
      <c r="AU60" s="6"/>
    </row>
    <row r="61" spans="1:72" x14ac:dyDescent="0.25">
      <c r="AS61"/>
      <c r="AU61" s="6"/>
    </row>
    <row r="62" spans="1:72" x14ac:dyDescent="0.25">
      <c r="AS62"/>
      <c r="AU62" s="6"/>
    </row>
    <row r="63" spans="1:72" x14ac:dyDescent="0.25">
      <c r="AS63"/>
      <c r="AU63"/>
    </row>
    <row r="64" spans="1:72" x14ac:dyDescent="0.25">
      <c r="AS64"/>
      <c r="AU64"/>
    </row>
  </sheetData>
  <mergeCells count="9">
    <mergeCell ref="A1:A2"/>
    <mergeCell ref="B1:B2"/>
    <mergeCell ref="AQ1:AZ1"/>
    <mergeCell ref="BA1:BJ1"/>
    <mergeCell ref="BK1:BT1"/>
    <mergeCell ref="C1:L1"/>
    <mergeCell ref="M1:V1"/>
    <mergeCell ref="W1:AF1"/>
    <mergeCell ref="AG1:AP1"/>
  </mergeCells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>
    <tabColor rgb="FFFF0000"/>
  </sheetPr>
  <dimension ref="A1:N50"/>
  <sheetViews>
    <sheetView topLeftCell="A27" workbookViewId="0">
      <selection activeCell="I43" sqref="I43"/>
    </sheetView>
  </sheetViews>
  <sheetFormatPr defaultRowHeight="15" x14ac:dyDescent="0.25"/>
  <sheetData>
    <row r="1" spans="1:14" x14ac:dyDescent="0.25">
      <c r="A1">
        <v>1</v>
      </c>
      <c r="B1">
        <v>0</v>
      </c>
      <c r="H1">
        <v>1</v>
      </c>
      <c r="I1" t="s">
        <v>117</v>
      </c>
      <c r="J1">
        <v>3</v>
      </c>
      <c r="K1" t="s">
        <v>118</v>
      </c>
      <c r="L1" s="6">
        <v>58.48</v>
      </c>
      <c r="M1">
        <f>L1/45</f>
        <v>1.2995555555555556</v>
      </c>
      <c r="N1">
        <f>M1*60</f>
        <v>77.973333333333329</v>
      </c>
    </row>
    <row r="2" spans="1:14" x14ac:dyDescent="0.25">
      <c r="A2">
        <v>2</v>
      </c>
      <c r="B2">
        <v>3</v>
      </c>
      <c r="H2">
        <v>3</v>
      </c>
      <c r="I2" t="s">
        <v>118</v>
      </c>
      <c r="J2">
        <v>5</v>
      </c>
      <c r="K2" t="s">
        <v>119</v>
      </c>
      <c r="L2" s="6">
        <v>47.84</v>
      </c>
      <c r="M2">
        <f t="shared" ref="M2:M6" si="0">L2/45</f>
        <v>1.0631111111111111</v>
      </c>
      <c r="N2">
        <f t="shared" ref="N2:N6" si="1">M2*60</f>
        <v>63.786666666666669</v>
      </c>
    </row>
    <row r="3" spans="1:14" x14ac:dyDescent="0.25">
      <c r="A3">
        <v>3</v>
      </c>
      <c r="B3">
        <v>1</v>
      </c>
      <c r="H3">
        <v>5</v>
      </c>
      <c r="I3" t="s">
        <v>119</v>
      </c>
      <c r="J3">
        <v>743</v>
      </c>
      <c r="K3" t="s">
        <v>145</v>
      </c>
      <c r="L3" s="6">
        <v>104.56</v>
      </c>
      <c r="M3">
        <f t="shared" si="0"/>
        <v>2.3235555555555556</v>
      </c>
      <c r="N3">
        <f t="shared" si="1"/>
        <v>139.41333333333333</v>
      </c>
    </row>
    <row r="4" spans="1:14" x14ac:dyDescent="0.25">
      <c r="A4">
        <v>4</v>
      </c>
      <c r="B4">
        <v>2</v>
      </c>
      <c r="H4">
        <v>743</v>
      </c>
      <c r="I4" t="s">
        <v>145</v>
      </c>
      <c r="J4">
        <v>765</v>
      </c>
      <c r="K4" t="s">
        <v>147</v>
      </c>
      <c r="L4" s="6">
        <v>12.23</v>
      </c>
      <c r="M4">
        <f t="shared" si="0"/>
        <v>0.27177777777777778</v>
      </c>
      <c r="N4">
        <f t="shared" si="1"/>
        <v>16.306666666666668</v>
      </c>
    </row>
    <row r="5" spans="1:14" x14ac:dyDescent="0.25">
      <c r="A5">
        <v>5</v>
      </c>
      <c r="B5">
        <v>3</v>
      </c>
      <c r="H5">
        <v>765</v>
      </c>
      <c r="I5" t="s">
        <v>147</v>
      </c>
      <c r="J5">
        <v>799</v>
      </c>
      <c r="K5" t="s">
        <v>152</v>
      </c>
      <c r="L5">
        <v>1.35</v>
      </c>
      <c r="M5">
        <f t="shared" si="0"/>
        <v>3.0000000000000002E-2</v>
      </c>
      <c r="N5">
        <f t="shared" si="1"/>
        <v>1.8</v>
      </c>
    </row>
    <row r="6" spans="1:14" x14ac:dyDescent="0.25">
      <c r="A6">
        <v>6</v>
      </c>
      <c r="B6">
        <v>1</v>
      </c>
      <c r="H6">
        <v>799</v>
      </c>
      <c r="I6" t="s">
        <v>152</v>
      </c>
      <c r="J6">
        <v>1</v>
      </c>
      <c r="K6" t="s">
        <v>117</v>
      </c>
      <c r="L6">
        <v>3.18</v>
      </c>
      <c r="M6">
        <f t="shared" si="0"/>
        <v>7.0666666666666669E-2</v>
      </c>
      <c r="N6">
        <f t="shared" si="1"/>
        <v>4.24</v>
      </c>
    </row>
    <row r="7" spans="1:14" x14ac:dyDescent="0.25">
      <c r="A7">
        <v>7</v>
      </c>
      <c r="B7">
        <v>1</v>
      </c>
    </row>
    <row r="8" spans="1:14" x14ac:dyDescent="0.25">
      <c r="A8">
        <v>8</v>
      </c>
      <c r="B8">
        <v>2</v>
      </c>
    </row>
    <row r="9" spans="1:14" x14ac:dyDescent="0.25">
      <c r="A9">
        <v>9</v>
      </c>
      <c r="B9">
        <v>0</v>
      </c>
    </row>
    <row r="10" spans="1:14" x14ac:dyDescent="0.25">
      <c r="A10">
        <v>10</v>
      </c>
      <c r="B10">
        <v>0</v>
      </c>
    </row>
    <row r="11" spans="1:14" x14ac:dyDescent="0.25">
      <c r="A11">
        <v>11</v>
      </c>
      <c r="B11">
        <v>0</v>
      </c>
    </row>
    <row r="12" spans="1:14" x14ac:dyDescent="0.25">
      <c r="A12">
        <v>12</v>
      </c>
      <c r="B12">
        <v>0</v>
      </c>
    </row>
    <row r="13" spans="1:14" x14ac:dyDescent="0.25">
      <c r="A13">
        <v>13</v>
      </c>
      <c r="B13">
        <v>0</v>
      </c>
    </row>
    <row r="14" spans="1:14" x14ac:dyDescent="0.25">
      <c r="A14">
        <v>14</v>
      </c>
      <c r="B14">
        <v>2</v>
      </c>
    </row>
    <row r="15" spans="1:14" x14ac:dyDescent="0.25">
      <c r="A15">
        <v>15</v>
      </c>
      <c r="B15">
        <v>0</v>
      </c>
    </row>
    <row r="16" spans="1:14" x14ac:dyDescent="0.25">
      <c r="A16">
        <v>16</v>
      </c>
      <c r="B16">
        <v>4</v>
      </c>
    </row>
    <row r="17" spans="1:2" x14ac:dyDescent="0.25">
      <c r="A17">
        <v>17</v>
      </c>
      <c r="B17">
        <v>7</v>
      </c>
    </row>
    <row r="18" spans="1:2" x14ac:dyDescent="0.25">
      <c r="A18">
        <v>18</v>
      </c>
      <c r="B18">
        <v>7</v>
      </c>
    </row>
    <row r="19" spans="1:2" x14ac:dyDescent="0.25">
      <c r="A19">
        <v>19</v>
      </c>
      <c r="B19">
        <v>12</v>
      </c>
    </row>
    <row r="20" spans="1:2" x14ac:dyDescent="0.25">
      <c r="A20">
        <v>20</v>
      </c>
      <c r="B20">
        <v>0</v>
      </c>
    </row>
    <row r="21" spans="1:2" x14ac:dyDescent="0.25">
      <c r="A21">
        <v>21</v>
      </c>
      <c r="B21">
        <v>11</v>
      </c>
    </row>
    <row r="22" spans="1:2" x14ac:dyDescent="0.25">
      <c r="A22">
        <v>22</v>
      </c>
      <c r="B22">
        <v>0</v>
      </c>
    </row>
    <row r="23" spans="1:2" x14ac:dyDescent="0.25">
      <c r="A23">
        <v>23</v>
      </c>
      <c r="B23">
        <v>8</v>
      </c>
    </row>
    <row r="24" spans="1:2" x14ac:dyDescent="0.25">
      <c r="A24">
        <v>24</v>
      </c>
      <c r="B24">
        <v>10</v>
      </c>
    </row>
    <row r="25" spans="1:2" x14ac:dyDescent="0.25">
      <c r="A25">
        <v>25</v>
      </c>
      <c r="B25">
        <v>9</v>
      </c>
    </row>
    <row r="26" spans="1:2" x14ac:dyDescent="0.25">
      <c r="A26">
        <v>26</v>
      </c>
      <c r="B26">
        <v>8</v>
      </c>
    </row>
    <row r="27" spans="1:2" x14ac:dyDescent="0.25">
      <c r="A27">
        <v>27</v>
      </c>
      <c r="B27">
        <v>5</v>
      </c>
    </row>
    <row r="28" spans="1:2" x14ac:dyDescent="0.25">
      <c r="A28">
        <v>28</v>
      </c>
      <c r="B28">
        <v>0</v>
      </c>
    </row>
    <row r="29" spans="1:2" x14ac:dyDescent="0.25">
      <c r="A29">
        <v>29</v>
      </c>
      <c r="B29">
        <v>0</v>
      </c>
    </row>
    <row r="30" spans="1:2" x14ac:dyDescent="0.25">
      <c r="A30">
        <v>30</v>
      </c>
      <c r="B30">
        <v>0</v>
      </c>
    </row>
    <row r="31" spans="1:2" x14ac:dyDescent="0.25">
      <c r="A31">
        <v>31</v>
      </c>
      <c r="B31">
        <v>8</v>
      </c>
    </row>
    <row r="32" spans="1:2" x14ac:dyDescent="0.25">
      <c r="A32">
        <v>32</v>
      </c>
      <c r="B32">
        <v>6</v>
      </c>
    </row>
    <row r="33" spans="1:2" x14ac:dyDescent="0.25">
      <c r="A33">
        <v>33</v>
      </c>
      <c r="B33">
        <v>3</v>
      </c>
    </row>
    <row r="34" spans="1:2" x14ac:dyDescent="0.25">
      <c r="A34">
        <v>34</v>
      </c>
      <c r="B34">
        <v>10</v>
      </c>
    </row>
    <row r="35" spans="1:2" x14ac:dyDescent="0.25">
      <c r="A35">
        <v>35</v>
      </c>
      <c r="B35">
        <v>0</v>
      </c>
    </row>
    <row r="36" spans="1:2" x14ac:dyDescent="0.25">
      <c r="A36">
        <v>36</v>
      </c>
      <c r="B36">
        <v>0</v>
      </c>
    </row>
    <row r="37" spans="1:2" x14ac:dyDescent="0.25">
      <c r="A37">
        <v>37</v>
      </c>
      <c r="B37">
        <v>4</v>
      </c>
    </row>
    <row r="38" spans="1:2" x14ac:dyDescent="0.25">
      <c r="A38">
        <v>38</v>
      </c>
      <c r="B38">
        <v>0</v>
      </c>
    </row>
    <row r="39" spans="1:2" x14ac:dyDescent="0.25">
      <c r="A39">
        <v>39</v>
      </c>
      <c r="B39">
        <v>0</v>
      </c>
    </row>
    <row r="40" spans="1:2" x14ac:dyDescent="0.25">
      <c r="A40">
        <v>40</v>
      </c>
      <c r="B40">
        <v>6</v>
      </c>
    </row>
    <row r="41" spans="1:2" x14ac:dyDescent="0.25">
      <c r="A41">
        <v>41</v>
      </c>
      <c r="B41">
        <v>11</v>
      </c>
    </row>
    <row r="42" spans="1:2" x14ac:dyDescent="0.25">
      <c r="A42">
        <v>42</v>
      </c>
      <c r="B42">
        <v>9</v>
      </c>
    </row>
    <row r="43" spans="1:2" x14ac:dyDescent="0.25">
      <c r="A43">
        <v>43</v>
      </c>
      <c r="B43">
        <v>9</v>
      </c>
    </row>
    <row r="44" spans="1:2" x14ac:dyDescent="0.25">
      <c r="A44">
        <v>44</v>
      </c>
      <c r="B44">
        <v>13</v>
      </c>
    </row>
    <row r="45" spans="1:2" x14ac:dyDescent="0.25">
      <c r="A45">
        <v>45</v>
      </c>
      <c r="B45">
        <v>6</v>
      </c>
    </row>
    <row r="46" spans="1:2" x14ac:dyDescent="0.25">
      <c r="A46">
        <v>46</v>
      </c>
      <c r="B46">
        <v>14</v>
      </c>
    </row>
    <row r="47" spans="1:2" x14ac:dyDescent="0.25">
      <c r="A47">
        <v>47</v>
      </c>
      <c r="B47">
        <v>5</v>
      </c>
    </row>
    <row r="48" spans="1:2" x14ac:dyDescent="0.25">
      <c r="A48">
        <v>48</v>
      </c>
      <c r="B48">
        <v>7</v>
      </c>
    </row>
    <row r="49" spans="1:2" x14ac:dyDescent="0.25">
      <c r="A49">
        <v>49</v>
      </c>
      <c r="B49">
        <v>5</v>
      </c>
    </row>
    <row r="50" spans="1:2" x14ac:dyDescent="0.25">
      <c r="A50">
        <v>50</v>
      </c>
      <c r="B50">
        <v>4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>
    <tabColor rgb="FFFF0000"/>
  </sheetPr>
  <dimension ref="A1:T51"/>
  <sheetViews>
    <sheetView workbookViewId="0">
      <selection activeCell="B20" sqref="B20"/>
    </sheetView>
  </sheetViews>
  <sheetFormatPr defaultRowHeight="15" x14ac:dyDescent="0.25"/>
  <cols>
    <col min="2" max="2" width="34.140625" bestFit="1" customWidth="1"/>
    <col min="6" max="6" width="12.140625" bestFit="1" customWidth="1"/>
  </cols>
  <sheetData>
    <row r="1" spans="1:20" x14ac:dyDescent="0.25">
      <c r="A1" s="8" t="s">
        <v>64</v>
      </c>
      <c r="B1" s="8"/>
      <c r="C1" s="8" t="s">
        <v>65</v>
      </c>
      <c r="D1" s="8" t="s">
        <v>66</v>
      </c>
      <c r="E1" s="8" t="s">
        <v>67</v>
      </c>
      <c r="F1" s="8" t="s">
        <v>68</v>
      </c>
      <c r="G1" s="8" t="s">
        <v>71</v>
      </c>
      <c r="H1" s="8" t="s">
        <v>72</v>
      </c>
      <c r="I1" s="8" t="s">
        <v>73</v>
      </c>
      <c r="J1" s="8" t="s">
        <v>74</v>
      </c>
      <c r="K1" s="8" t="s">
        <v>75</v>
      </c>
      <c r="L1" s="8" t="s">
        <v>76</v>
      </c>
      <c r="M1" s="8" t="s">
        <v>77</v>
      </c>
    </row>
    <row r="2" spans="1:20" x14ac:dyDescent="0.25">
      <c r="A2">
        <v>1</v>
      </c>
      <c r="B2" t="s">
        <v>117</v>
      </c>
      <c r="C2">
        <v>11</v>
      </c>
      <c r="D2">
        <v>9.6302222222222227</v>
      </c>
      <c r="E2">
        <v>16.296923076923072</v>
      </c>
      <c r="F2">
        <v>71.19392307692307</v>
      </c>
      <c r="G2">
        <v>4000</v>
      </c>
      <c r="H2">
        <v>9500</v>
      </c>
      <c r="I2">
        <v>7500</v>
      </c>
      <c r="J2">
        <v>3500</v>
      </c>
      <c r="K2">
        <v>2500</v>
      </c>
      <c r="L2">
        <v>3300</v>
      </c>
      <c r="M2">
        <v>6500</v>
      </c>
      <c r="N2">
        <v>0</v>
      </c>
      <c r="O2" s="5">
        <v>0</v>
      </c>
      <c r="P2">
        <v>0</v>
      </c>
      <c r="Q2">
        <v>0</v>
      </c>
      <c r="R2">
        <v>0</v>
      </c>
      <c r="S2">
        <v>0</v>
      </c>
      <c r="T2">
        <v>0</v>
      </c>
    </row>
    <row r="3" spans="1:20" x14ac:dyDescent="0.25">
      <c r="A3">
        <v>2</v>
      </c>
      <c r="B3" t="s">
        <v>118</v>
      </c>
      <c r="C3">
        <v>1</v>
      </c>
      <c r="D3">
        <v>4.1164444444444452</v>
      </c>
      <c r="E3">
        <v>50.434545454545457</v>
      </c>
      <c r="F3">
        <v>83.142090909090911</v>
      </c>
      <c r="G3">
        <v>3000</v>
      </c>
      <c r="H3">
        <v>3000</v>
      </c>
      <c r="I3">
        <v>3000</v>
      </c>
      <c r="J3">
        <v>4600</v>
      </c>
      <c r="K3">
        <v>4000</v>
      </c>
      <c r="L3">
        <v>6700</v>
      </c>
      <c r="M3">
        <v>7100</v>
      </c>
      <c r="N3">
        <v>0</v>
      </c>
      <c r="O3">
        <v>0</v>
      </c>
      <c r="P3">
        <v>0</v>
      </c>
      <c r="Q3">
        <v>0</v>
      </c>
      <c r="R3">
        <v>0</v>
      </c>
      <c r="S3">
        <v>0</v>
      </c>
      <c r="T3">
        <v>0</v>
      </c>
    </row>
    <row r="4" spans="1:20" x14ac:dyDescent="0.25">
      <c r="A4">
        <v>3</v>
      </c>
      <c r="B4" t="s">
        <v>119</v>
      </c>
      <c r="C4">
        <v>1</v>
      </c>
      <c r="D4">
        <v>2.3524444444444446</v>
      </c>
      <c r="E4">
        <v>150.59181818181818</v>
      </c>
      <c r="F4">
        <v>118.19713636363636</v>
      </c>
      <c r="G4">
        <v>1500</v>
      </c>
      <c r="H4">
        <v>5600</v>
      </c>
      <c r="I4">
        <v>6000</v>
      </c>
      <c r="J4">
        <v>10000</v>
      </c>
      <c r="K4">
        <v>8000</v>
      </c>
      <c r="L4">
        <v>3500</v>
      </c>
      <c r="M4">
        <v>6800</v>
      </c>
      <c r="N4">
        <v>0</v>
      </c>
      <c r="O4">
        <v>0</v>
      </c>
      <c r="P4">
        <v>0</v>
      </c>
      <c r="Q4">
        <v>0</v>
      </c>
      <c r="R4">
        <v>0</v>
      </c>
      <c r="S4">
        <v>0</v>
      </c>
      <c r="T4">
        <v>0</v>
      </c>
    </row>
    <row r="5" spans="1:20" x14ac:dyDescent="0.25">
      <c r="A5">
        <v>4</v>
      </c>
      <c r="B5" t="s">
        <v>120</v>
      </c>
      <c r="C5">
        <v>1</v>
      </c>
      <c r="D5">
        <v>5.3757777777777784</v>
      </c>
      <c r="E5">
        <v>147.56363636363636</v>
      </c>
      <c r="F5">
        <v>117.13727272727272</v>
      </c>
      <c r="G5">
        <v>4700</v>
      </c>
      <c r="H5">
        <v>8700</v>
      </c>
      <c r="I5">
        <v>6900</v>
      </c>
      <c r="J5">
        <v>9300</v>
      </c>
      <c r="K5">
        <v>9200</v>
      </c>
      <c r="L5">
        <v>7500</v>
      </c>
      <c r="M5">
        <v>9000</v>
      </c>
      <c r="N5">
        <v>0</v>
      </c>
      <c r="O5">
        <v>0</v>
      </c>
      <c r="P5">
        <v>0</v>
      </c>
      <c r="Q5">
        <v>0</v>
      </c>
      <c r="R5">
        <v>0</v>
      </c>
      <c r="S5">
        <v>0</v>
      </c>
      <c r="T5">
        <v>0</v>
      </c>
    </row>
    <row r="6" spans="1:20" x14ac:dyDescent="0.25">
      <c r="A6">
        <v>5</v>
      </c>
      <c r="B6" t="s">
        <v>121</v>
      </c>
      <c r="C6">
        <v>2</v>
      </c>
      <c r="D6">
        <v>6.9062222222222225</v>
      </c>
      <c r="E6">
        <v>64.38833333333335</v>
      </c>
      <c r="F6">
        <v>88.02591666666666</v>
      </c>
      <c r="G6">
        <v>200</v>
      </c>
      <c r="H6">
        <v>5200</v>
      </c>
      <c r="I6">
        <v>5400</v>
      </c>
      <c r="J6">
        <v>4600</v>
      </c>
      <c r="K6">
        <v>7800</v>
      </c>
      <c r="L6">
        <v>9200</v>
      </c>
      <c r="M6">
        <v>8000</v>
      </c>
      <c r="N6">
        <v>0</v>
      </c>
      <c r="O6">
        <v>0</v>
      </c>
      <c r="P6">
        <v>0</v>
      </c>
      <c r="Q6">
        <v>0</v>
      </c>
      <c r="R6">
        <v>0</v>
      </c>
      <c r="S6">
        <v>0</v>
      </c>
      <c r="T6">
        <v>0</v>
      </c>
    </row>
    <row r="7" spans="1:20" x14ac:dyDescent="0.25">
      <c r="A7">
        <v>6</v>
      </c>
      <c r="B7" t="s">
        <v>122</v>
      </c>
      <c r="C7">
        <v>11</v>
      </c>
      <c r="D7">
        <v>4.729111111111111</v>
      </c>
      <c r="E7">
        <v>289.7923076923077</v>
      </c>
      <c r="F7">
        <v>166.9173076923077</v>
      </c>
      <c r="G7">
        <v>0</v>
      </c>
      <c r="H7">
        <v>1500</v>
      </c>
      <c r="I7">
        <v>3700</v>
      </c>
      <c r="J7">
        <v>8900</v>
      </c>
      <c r="K7">
        <v>8000</v>
      </c>
      <c r="L7">
        <v>8600</v>
      </c>
      <c r="M7">
        <v>9400</v>
      </c>
      <c r="N7">
        <v>50000</v>
      </c>
      <c r="O7">
        <v>0</v>
      </c>
      <c r="P7">
        <v>0</v>
      </c>
      <c r="Q7">
        <v>0</v>
      </c>
      <c r="R7">
        <v>0</v>
      </c>
      <c r="S7">
        <v>0</v>
      </c>
      <c r="T7">
        <v>0</v>
      </c>
    </row>
    <row r="8" spans="1:20" x14ac:dyDescent="0.25">
      <c r="A8">
        <v>7</v>
      </c>
      <c r="B8" t="s">
        <v>123</v>
      </c>
      <c r="C8">
        <v>2</v>
      </c>
      <c r="D8">
        <v>5.7164444444444449</v>
      </c>
      <c r="E8">
        <v>88.54</v>
      </c>
      <c r="F8">
        <v>96.478999999999999</v>
      </c>
      <c r="G8">
        <v>0</v>
      </c>
      <c r="H8">
        <v>3800</v>
      </c>
      <c r="I8">
        <v>6100</v>
      </c>
      <c r="J8">
        <v>7900</v>
      </c>
      <c r="K8">
        <v>9800</v>
      </c>
      <c r="L8">
        <v>7000</v>
      </c>
      <c r="M8">
        <v>3200</v>
      </c>
      <c r="N8">
        <v>0</v>
      </c>
      <c r="O8">
        <v>0</v>
      </c>
      <c r="P8">
        <v>0</v>
      </c>
      <c r="Q8">
        <v>0</v>
      </c>
      <c r="R8">
        <v>0</v>
      </c>
      <c r="S8">
        <v>0</v>
      </c>
      <c r="T8">
        <v>0</v>
      </c>
    </row>
    <row r="9" spans="1:20" x14ac:dyDescent="0.25">
      <c r="A9">
        <v>8</v>
      </c>
      <c r="B9" t="s">
        <v>124</v>
      </c>
      <c r="C9">
        <v>2</v>
      </c>
      <c r="D9">
        <v>2.7926666666666669</v>
      </c>
      <c r="E9">
        <v>217.67166666666665</v>
      </c>
      <c r="F9">
        <v>141.6750833333333</v>
      </c>
      <c r="G9">
        <v>0</v>
      </c>
      <c r="H9">
        <v>3400</v>
      </c>
      <c r="I9">
        <v>8100</v>
      </c>
      <c r="J9">
        <v>2800</v>
      </c>
      <c r="K9">
        <v>5400</v>
      </c>
      <c r="L9">
        <v>5800</v>
      </c>
      <c r="M9">
        <v>6700</v>
      </c>
      <c r="N9">
        <v>0</v>
      </c>
      <c r="O9">
        <v>0</v>
      </c>
      <c r="P9">
        <v>0</v>
      </c>
      <c r="Q9">
        <v>0</v>
      </c>
      <c r="R9">
        <v>0</v>
      </c>
      <c r="S9">
        <v>0</v>
      </c>
      <c r="T9">
        <v>0</v>
      </c>
    </row>
    <row r="10" spans="1:20" x14ac:dyDescent="0.25">
      <c r="A10">
        <v>9</v>
      </c>
      <c r="B10" t="s">
        <v>125</v>
      </c>
      <c r="C10">
        <v>10</v>
      </c>
      <c r="D10">
        <v>4.245333333333333</v>
      </c>
      <c r="E10">
        <v>3.5431249999999999</v>
      </c>
      <c r="F10">
        <v>66.730093749999995</v>
      </c>
      <c r="G10">
        <v>0</v>
      </c>
      <c r="H10">
        <v>0</v>
      </c>
      <c r="I10">
        <v>0</v>
      </c>
      <c r="J10">
        <v>0</v>
      </c>
      <c r="K10">
        <v>0</v>
      </c>
      <c r="L10">
        <v>0</v>
      </c>
      <c r="M10">
        <v>0</v>
      </c>
      <c r="N10">
        <v>0</v>
      </c>
      <c r="O10">
        <v>0</v>
      </c>
      <c r="P10">
        <v>0</v>
      </c>
      <c r="Q10">
        <v>0</v>
      </c>
      <c r="R10">
        <v>0</v>
      </c>
      <c r="S10">
        <v>0</v>
      </c>
      <c r="T10">
        <v>0</v>
      </c>
    </row>
    <row r="11" spans="1:20" x14ac:dyDescent="0.25">
      <c r="A11">
        <v>10</v>
      </c>
      <c r="B11" t="s">
        <v>126</v>
      </c>
      <c r="C11">
        <v>2</v>
      </c>
      <c r="D11">
        <v>4.2888888888888888</v>
      </c>
      <c r="E11">
        <v>93.444999999999993</v>
      </c>
      <c r="F11">
        <v>98.19574999999999</v>
      </c>
      <c r="G11">
        <v>0</v>
      </c>
      <c r="H11">
        <v>0</v>
      </c>
      <c r="I11">
        <v>4100</v>
      </c>
      <c r="J11">
        <v>2600</v>
      </c>
      <c r="K11">
        <v>6000</v>
      </c>
      <c r="L11">
        <v>5000</v>
      </c>
      <c r="M11">
        <v>2200</v>
      </c>
      <c r="N11">
        <v>0</v>
      </c>
      <c r="O11">
        <v>0</v>
      </c>
      <c r="P11">
        <v>0</v>
      </c>
      <c r="Q11">
        <v>0</v>
      </c>
      <c r="R11">
        <v>0</v>
      </c>
      <c r="S11">
        <v>0</v>
      </c>
      <c r="T11">
        <v>0</v>
      </c>
    </row>
    <row r="12" spans="1:20" x14ac:dyDescent="0.25">
      <c r="A12">
        <v>11</v>
      </c>
      <c r="B12" t="s">
        <v>127</v>
      </c>
      <c r="C12">
        <v>2</v>
      </c>
      <c r="D12">
        <v>7.5711111111111116</v>
      </c>
      <c r="E12">
        <v>102.22333333333331</v>
      </c>
      <c r="F12">
        <v>101.26816666666664</v>
      </c>
      <c r="G12">
        <v>0</v>
      </c>
      <c r="H12">
        <v>0</v>
      </c>
      <c r="I12">
        <v>0</v>
      </c>
      <c r="J12">
        <v>1800</v>
      </c>
      <c r="K12">
        <v>5400</v>
      </c>
      <c r="L12">
        <v>4400</v>
      </c>
      <c r="M12">
        <v>9800</v>
      </c>
      <c r="N12">
        <v>0</v>
      </c>
      <c r="O12">
        <v>0</v>
      </c>
      <c r="P12">
        <v>0</v>
      </c>
      <c r="Q12">
        <v>0</v>
      </c>
      <c r="R12">
        <v>0</v>
      </c>
      <c r="S12">
        <v>0</v>
      </c>
      <c r="T12">
        <v>0</v>
      </c>
    </row>
    <row r="13" spans="1:20" x14ac:dyDescent="0.25">
      <c r="A13">
        <v>12</v>
      </c>
      <c r="B13" t="s">
        <v>128</v>
      </c>
      <c r="C13">
        <v>1</v>
      </c>
      <c r="D13">
        <v>3.4028888888888891</v>
      </c>
      <c r="E13">
        <v>63.710909090909098</v>
      </c>
      <c r="F13">
        <v>87.788818181818186</v>
      </c>
      <c r="G13">
        <v>0</v>
      </c>
      <c r="H13">
        <v>0</v>
      </c>
      <c r="I13">
        <v>1300</v>
      </c>
      <c r="J13">
        <v>9400</v>
      </c>
      <c r="K13">
        <v>3300</v>
      </c>
      <c r="L13">
        <v>4200</v>
      </c>
      <c r="M13">
        <v>5100</v>
      </c>
      <c r="N13">
        <v>0</v>
      </c>
      <c r="O13">
        <v>0</v>
      </c>
      <c r="P13">
        <v>0</v>
      </c>
      <c r="Q13">
        <v>0</v>
      </c>
      <c r="R13">
        <v>0</v>
      </c>
      <c r="S13">
        <v>0</v>
      </c>
      <c r="T13">
        <v>0</v>
      </c>
    </row>
    <row r="14" spans="1:20" x14ac:dyDescent="0.25">
      <c r="A14">
        <v>13</v>
      </c>
      <c r="B14" t="s">
        <v>129</v>
      </c>
      <c r="C14">
        <v>1</v>
      </c>
      <c r="D14">
        <v>8.5797777777777782</v>
      </c>
      <c r="E14">
        <v>35.230909090909094</v>
      </c>
      <c r="F14">
        <v>77.820818181818183</v>
      </c>
      <c r="G14">
        <v>0</v>
      </c>
      <c r="H14">
        <v>0</v>
      </c>
      <c r="I14">
        <v>5300</v>
      </c>
      <c r="J14">
        <v>9500</v>
      </c>
      <c r="K14">
        <v>9500</v>
      </c>
      <c r="L14">
        <v>8000</v>
      </c>
      <c r="M14">
        <v>9300</v>
      </c>
      <c r="N14">
        <v>0</v>
      </c>
      <c r="O14">
        <v>0</v>
      </c>
      <c r="P14">
        <v>0</v>
      </c>
      <c r="Q14">
        <v>0</v>
      </c>
      <c r="R14">
        <v>0</v>
      </c>
      <c r="S14">
        <v>0</v>
      </c>
      <c r="T14">
        <v>0</v>
      </c>
    </row>
    <row r="15" spans="1:20" x14ac:dyDescent="0.25">
      <c r="A15">
        <v>14</v>
      </c>
      <c r="B15" t="s">
        <v>130</v>
      </c>
      <c r="C15">
        <v>11</v>
      </c>
      <c r="D15">
        <v>7.1577777777777793</v>
      </c>
      <c r="E15">
        <v>61.891538461538481</v>
      </c>
      <c r="F15">
        <v>87.152038461538467</v>
      </c>
      <c r="G15">
        <v>0</v>
      </c>
      <c r="H15">
        <v>1800</v>
      </c>
      <c r="I15">
        <v>8300</v>
      </c>
      <c r="J15">
        <v>6900</v>
      </c>
      <c r="K15">
        <v>4400</v>
      </c>
      <c r="L15">
        <v>8300</v>
      </c>
      <c r="M15">
        <v>5900</v>
      </c>
      <c r="N15">
        <v>0</v>
      </c>
      <c r="O15">
        <v>0</v>
      </c>
      <c r="P15">
        <v>0</v>
      </c>
      <c r="Q15">
        <v>0</v>
      </c>
      <c r="R15">
        <v>0</v>
      </c>
      <c r="S15">
        <v>0</v>
      </c>
      <c r="T15">
        <v>0</v>
      </c>
    </row>
    <row r="16" spans="1:20" x14ac:dyDescent="0.25">
      <c r="A16">
        <v>15</v>
      </c>
      <c r="B16" t="s">
        <v>131</v>
      </c>
      <c r="C16">
        <v>10</v>
      </c>
      <c r="D16">
        <v>2.5344444444444441</v>
      </c>
      <c r="E16">
        <v>3.2899999999999996</v>
      </c>
      <c r="F16">
        <v>66.641499999999994</v>
      </c>
      <c r="G16">
        <v>0</v>
      </c>
      <c r="H16">
        <v>0</v>
      </c>
      <c r="I16">
        <v>1000</v>
      </c>
      <c r="J16">
        <v>4000</v>
      </c>
      <c r="K16">
        <v>7400</v>
      </c>
      <c r="L16">
        <v>3900</v>
      </c>
      <c r="M16">
        <v>8300</v>
      </c>
      <c r="N16">
        <v>0</v>
      </c>
      <c r="O16">
        <v>0</v>
      </c>
      <c r="P16">
        <v>0</v>
      </c>
      <c r="Q16">
        <v>0</v>
      </c>
      <c r="R16">
        <v>0</v>
      </c>
      <c r="S16">
        <v>0</v>
      </c>
      <c r="T16">
        <v>0</v>
      </c>
    </row>
    <row r="17" spans="1:20" x14ac:dyDescent="0.25">
      <c r="A17">
        <v>16</v>
      </c>
      <c r="B17" t="s">
        <v>132</v>
      </c>
      <c r="C17">
        <v>11</v>
      </c>
      <c r="D17">
        <v>8.5044444444444451</v>
      </c>
      <c r="E17">
        <v>17.946153846153848</v>
      </c>
      <c r="F17">
        <v>71.771153846153837</v>
      </c>
      <c r="G17">
        <v>2500</v>
      </c>
      <c r="H17">
        <v>7300</v>
      </c>
      <c r="I17">
        <v>2100</v>
      </c>
      <c r="J17">
        <v>6600</v>
      </c>
      <c r="K17">
        <v>4800</v>
      </c>
      <c r="L17">
        <v>3800</v>
      </c>
      <c r="M17">
        <v>8900</v>
      </c>
      <c r="N17">
        <v>0</v>
      </c>
      <c r="O17">
        <v>0</v>
      </c>
      <c r="P17">
        <v>0</v>
      </c>
      <c r="Q17">
        <v>0</v>
      </c>
      <c r="R17">
        <v>0</v>
      </c>
      <c r="S17">
        <v>0</v>
      </c>
      <c r="T17">
        <v>0</v>
      </c>
    </row>
    <row r="18" spans="1:20" x14ac:dyDescent="0.25">
      <c r="A18">
        <v>17</v>
      </c>
      <c r="B18" t="s">
        <v>133</v>
      </c>
      <c r="C18">
        <v>10</v>
      </c>
      <c r="D18">
        <v>5.5333333333333339E-2</v>
      </c>
      <c r="E18">
        <v>4.2887500000000003</v>
      </c>
      <c r="F18">
        <v>66.991062499999998</v>
      </c>
      <c r="G18">
        <v>300</v>
      </c>
      <c r="H18">
        <v>4200</v>
      </c>
      <c r="I18">
        <v>8900</v>
      </c>
      <c r="J18">
        <v>4900</v>
      </c>
      <c r="K18">
        <v>9200</v>
      </c>
      <c r="L18">
        <v>7500</v>
      </c>
      <c r="M18">
        <v>5800</v>
      </c>
      <c r="N18">
        <v>0</v>
      </c>
      <c r="O18">
        <v>0</v>
      </c>
      <c r="P18">
        <v>0</v>
      </c>
      <c r="Q18">
        <v>0</v>
      </c>
      <c r="R18">
        <v>0</v>
      </c>
      <c r="S18">
        <v>0</v>
      </c>
      <c r="T18">
        <v>0</v>
      </c>
    </row>
    <row r="19" spans="1:20" x14ac:dyDescent="0.25">
      <c r="A19">
        <v>18</v>
      </c>
      <c r="B19" t="s">
        <v>134</v>
      </c>
      <c r="C19">
        <v>1</v>
      </c>
      <c r="D19">
        <v>9.1546666666666674</v>
      </c>
      <c r="E19">
        <v>35.338181818181816</v>
      </c>
      <c r="F19">
        <v>77.858363636363634</v>
      </c>
      <c r="G19">
        <v>500</v>
      </c>
      <c r="H19">
        <v>7700</v>
      </c>
      <c r="I19">
        <v>2900</v>
      </c>
      <c r="J19">
        <v>2400</v>
      </c>
      <c r="K19">
        <v>2700</v>
      </c>
      <c r="L19">
        <v>2800</v>
      </c>
      <c r="M19">
        <v>6200</v>
      </c>
      <c r="N19">
        <v>0</v>
      </c>
      <c r="O19">
        <v>0</v>
      </c>
      <c r="P19">
        <v>0</v>
      </c>
      <c r="Q19">
        <v>0</v>
      </c>
      <c r="R19">
        <v>0</v>
      </c>
      <c r="S19">
        <v>0</v>
      </c>
      <c r="T19">
        <v>0</v>
      </c>
    </row>
    <row r="20" spans="1:20" x14ac:dyDescent="0.25">
      <c r="A20">
        <v>19</v>
      </c>
      <c r="B20" t="s">
        <v>135</v>
      </c>
      <c r="C20">
        <v>10</v>
      </c>
      <c r="D20">
        <v>0.62333333333333329</v>
      </c>
      <c r="E20">
        <v>3.1062499999999997</v>
      </c>
      <c r="F20">
        <v>66.577187499999994</v>
      </c>
      <c r="G20">
        <v>1900</v>
      </c>
      <c r="H20">
        <v>2900</v>
      </c>
      <c r="I20">
        <v>5700</v>
      </c>
      <c r="J20">
        <v>4600</v>
      </c>
      <c r="K20">
        <v>8900</v>
      </c>
      <c r="L20">
        <v>2300</v>
      </c>
      <c r="M20">
        <v>5800</v>
      </c>
      <c r="N20">
        <v>0</v>
      </c>
      <c r="O20">
        <v>0</v>
      </c>
      <c r="P20">
        <v>0</v>
      </c>
      <c r="Q20">
        <v>0</v>
      </c>
      <c r="R20">
        <v>0</v>
      </c>
      <c r="S20">
        <v>0</v>
      </c>
      <c r="T20">
        <v>0</v>
      </c>
    </row>
    <row r="21" spans="1:20" x14ac:dyDescent="0.25">
      <c r="A21">
        <v>20</v>
      </c>
      <c r="B21" t="s">
        <v>136</v>
      </c>
      <c r="C21">
        <v>11</v>
      </c>
      <c r="D21">
        <v>9.3651111111111121</v>
      </c>
      <c r="E21">
        <v>16.691538461538457</v>
      </c>
      <c r="F21">
        <v>71.33203846153846</v>
      </c>
      <c r="G21">
        <v>0</v>
      </c>
      <c r="H21">
        <v>0</v>
      </c>
      <c r="I21">
        <v>1500</v>
      </c>
      <c r="J21">
        <v>2700</v>
      </c>
      <c r="K21">
        <v>5600</v>
      </c>
      <c r="L21">
        <v>3400</v>
      </c>
      <c r="M21">
        <v>5900</v>
      </c>
      <c r="N21">
        <v>0</v>
      </c>
      <c r="O21">
        <v>0</v>
      </c>
      <c r="P21">
        <v>0</v>
      </c>
      <c r="Q21">
        <v>0</v>
      </c>
      <c r="R21">
        <v>0</v>
      </c>
      <c r="S21">
        <v>0</v>
      </c>
      <c r="T21">
        <v>0</v>
      </c>
    </row>
    <row r="22" spans="1:20" x14ac:dyDescent="0.25">
      <c r="A22">
        <v>21</v>
      </c>
      <c r="B22" t="s">
        <v>137</v>
      </c>
      <c r="C22">
        <v>10</v>
      </c>
      <c r="D22">
        <v>4.5073333333333334</v>
      </c>
      <c r="E22">
        <v>2.901875</v>
      </c>
      <c r="F22">
        <v>66.505656250000001</v>
      </c>
      <c r="G22">
        <v>2400</v>
      </c>
      <c r="H22">
        <v>9400</v>
      </c>
      <c r="I22">
        <v>7100</v>
      </c>
      <c r="J22">
        <v>6600</v>
      </c>
      <c r="K22">
        <v>3500</v>
      </c>
      <c r="L22">
        <v>9700</v>
      </c>
      <c r="M22">
        <v>2400</v>
      </c>
      <c r="N22">
        <v>0</v>
      </c>
      <c r="O22">
        <v>0</v>
      </c>
      <c r="P22">
        <v>0</v>
      </c>
      <c r="Q22">
        <v>0</v>
      </c>
      <c r="R22">
        <v>0</v>
      </c>
      <c r="S22">
        <v>0</v>
      </c>
      <c r="T22">
        <v>0</v>
      </c>
    </row>
    <row r="23" spans="1:20" x14ac:dyDescent="0.25">
      <c r="A23">
        <v>22</v>
      </c>
      <c r="B23" t="s">
        <v>138</v>
      </c>
      <c r="C23">
        <v>10</v>
      </c>
      <c r="D23">
        <v>3.649111111111111</v>
      </c>
      <c r="E23">
        <v>2.326249999999999</v>
      </c>
      <c r="F23">
        <v>66.304187499999998</v>
      </c>
      <c r="G23">
        <v>0</v>
      </c>
      <c r="H23">
        <v>0</v>
      </c>
      <c r="I23">
        <v>9100</v>
      </c>
      <c r="J23">
        <v>3300</v>
      </c>
      <c r="K23">
        <v>2200</v>
      </c>
      <c r="L23">
        <v>5900</v>
      </c>
      <c r="M23">
        <v>5800</v>
      </c>
      <c r="N23">
        <v>0</v>
      </c>
      <c r="O23">
        <v>0</v>
      </c>
      <c r="P23">
        <v>0</v>
      </c>
      <c r="Q23">
        <v>0</v>
      </c>
      <c r="R23">
        <v>0</v>
      </c>
      <c r="S23">
        <v>0</v>
      </c>
      <c r="T23">
        <v>0</v>
      </c>
    </row>
    <row r="24" spans="1:20" x14ac:dyDescent="0.25">
      <c r="A24">
        <v>23</v>
      </c>
      <c r="B24" t="s">
        <v>139</v>
      </c>
      <c r="C24">
        <v>10</v>
      </c>
      <c r="D24">
        <v>1.9568888888888887</v>
      </c>
      <c r="E24">
        <v>2.1268750000000001</v>
      </c>
      <c r="F24">
        <v>66.234406249999992</v>
      </c>
      <c r="G24">
        <v>3600</v>
      </c>
      <c r="H24">
        <v>4700</v>
      </c>
      <c r="I24">
        <v>8400</v>
      </c>
      <c r="J24">
        <v>8000</v>
      </c>
      <c r="K24">
        <v>7800</v>
      </c>
      <c r="L24">
        <v>6000</v>
      </c>
      <c r="M24">
        <v>8400</v>
      </c>
      <c r="N24">
        <v>0</v>
      </c>
      <c r="O24">
        <v>0</v>
      </c>
      <c r="P24">
        <v>0</v>
      </c>
      <c r="Q24">
        <v>0</v>
      </c>
      <c r="R24">
        <v>0</v>
      </c>
      <c r="S24">
        <v>0</v>
      </c>
      <c r="T24">
        <v>0</v>
      </c>
    </row>
    <row r="25" spans="1:20" x14ac:dyDescent="0.25">
      <c r="A25">
        <v>24</v>
      </c>
      <c r="B25" t="s">
        <v>140</v>
      </c>
      <c r="C25">
        <v>10</v>
      </c>
      <c r="D25">
        <v>0.88444444444444448</v>
      </c>
      <c r="E25">
        <v>2.6712499999999992</v>
      </c>
      <c r="F25">
        <v>66.424937499999999</v>
      </c>
      <c r="G25">
        <v>0</v>
      </c>
      <c r="H25">
        <v>1200</v>
      </c>
      <c r="I25">
        <v>7700</v>
      </c>
      <c r="J25">
        <v>2400</v>
      </c>
      <c r="K25">
        <v>5300</v>
      </c>
      <c r="L25">
        <v>2300</v>
      </c>
      <c r="M25">
        <v>2900</v>
      </c>
      <c r="N25">
        <v>0</v>
      </c>
      <c r="O25">
        <v>0</v>
      </c>
      <c r="P25">
        <v>0</v>
      </c>
      <c r="Q25">
        <v>0</v>
      </c>
      <c r="R25">
        <v>0</v>
      </c>
      <c r="S25">
        <v>0</v>
      </c>
      <c r="T25">
        <v>0</v>
      </c>
    </row>
    <row r="26" spans="1:20" x14ac:dyDescent="0.25">
      <c r="A26">
        <v>25</v>
      </c>
      <c r="B26" t="s">
        <v>141</v>
      </c>
      <c r="C26">
        <v>10</v>
      </c>
      <c r="D26">
        <v>0.316</v>
      </c>
      <c r="E26">
        <v>3.7312499999999993</v>
      </c>
      <c r="F26">
        <v>66.795937499999994</v>
      </c>
      <c r="G26">
        <v>6300</v>
      </c>
      <c r="H26">
        <v>3000</v>
      </c>
      <c r="I26">
        <v>8600</v>
      </c>
      <c r="J26">
        <v>2700</v>
      </c>
      <c r="K26">
        <v>7900</v>
      </c>
      <c r="L26">
        <v>3000</v>
      </c>
      <c r="M26">
        <v>2000</v>
      </c>
      <c r="N26">
        <v>0</v>
      </c>
      <c r="O26">
        <v>0</v>
      </c>
      <c r="P26">
        <v>0</v>
      </c>
      <c r="Q26">
        <v>0</v>
      </c>
      <c r="R26">
        <v>0</v>
      </c>
      <c r="S26">
        <v>0</v>
      </c>
      <c r="T26">
        <v>0</v>
      </c>
    </row>
    <row r="27" spans="1:20" x14ac:dyDescent="0.25">
      <c r="A27">
        <v>26</v>
      </c>
      <c r="B27" t="s">
        <v>142</v>
      </c>
      <c r="C27">
        <v>10</v>
      </c>
      <c r="D27">
        <v>3.9377777777777778</v>
      </c>
      <c r="E27">
        <v>5.7450000000000001</v>
      </c>
      <c r="F27">
        <v>67.500749999999996</v>
      </c>
      <c r="G27">
        <v>800</v>
      </c>
      <c r="H27">
        <v>9000</v>
      </c>
      <c r="I27">
        <v>8600</v>
      </c>
      <c r="J27">
        <v>9100</v>
      </c>
      <c r="K27">
        <v>5000</v>
      </c>
      <c r="L27">
        <v>3800</v>
      </c>
      <c r="M27">
        <v>6700</v>
      </c>
      <c r="N27">
        <v>0</v>
      </c>
      <c r="O27">
        <v>0</v>
      </c>
      <c r="P27">
        <v>0</v>
      </c>
      <c r="Q27">
        <v>0</v>
      </c>
      <c r="R27">
        <v>0</v>
      </c>
      <c r="S27">
        <v>0</v>
      </c>
      <c r="T27">
        <v>0</v>
      </c>
    </row>
    <row r="28" spans="1:20" x14ac:dyDescent="0.25">
      <c r="A28">
        <v>27</v>
      </c>
      <c r="B28" t="s">
        <v>143</v>
      </c>
      <c r="C28">
        <v>11</v>
      </c>
      <c r="D28">
        <v>8.8084444444444454</v>
      </c>
      <c r="E28">
        <v>17.288461538461537</v>
      </c>
      <c r="F28">
        <v>71.540961538461531</v>
      </c>
      <c r="G28">
        <v>1000</v>
      </c>
      <c r="H28">
        <v>4900</v>
      </c>
      <c r="I28">
        <v>6400</v>
      </c>
      <c r="J28">
        <v>5400</v>
      </c>
      <c r="K28">
        <v>8300</v>
      </c>
      <c r="L28">
        <v>4500</v>
      </c>
      <c r="M28">
        <v>7800</v>
      </c>
      <c r="N28">
        <v>0</v>
      </c>
      <c r="O28">
        <v>0</v>
      </c>
      <c r="P28">
        <v>0</v>
      </c>
      <c r="Q28">
        <v>0</v>
      </c>
      <c r="R28">
        <v>0</v>
      </c>
      <c r="S28">
        <v>0</v>
      </c>
      <c r="T28">
        <v>0</v>
      </c>
    </row>
    <row r="29" spans="1:20" x14ac:dyDescent="0.25">
      <c r="A29">
        <v>28</v>
      </c>
      <c r="B29" t="s">
        <v>144</v>
      </c>
      <c r="C29">
        <v>1</v>
      </c>
      <c r="D29">
        <v>6.9631111111111119</v>
      </c>
      <c r="E29">
        <v>32.326363636363624</v>
      </c>
      <c r="F29">
        <v>76.80422727272726</v>
      </c>
      <c r="G29">
        <v>0</v>
      </c>
      <c r="H29">
        <v>0</v>
      </c>
      <c r="I29">
        <v>4100</v>
      </c>
      <c r="J29">
        <v>7600</v>
      </c>
      <c r="K29">
        <v>9300</v>
      </c>
      <c r="L29">
        <v>2100</v>
      </c>
      <c r="M29">
        <v>5600</v>
      </c>
      <c r="N29">
        <v>0</v>
      </c>
      <c r="O29">
        <v>0</v>
      </c>
      <c r="P29">
        <v>0</v>
      </c>
      <c r="Q29">
        <v>0</v>
      </c>
      <c r="R29">
        <v>0</v>
      </c>
      <c r="S29">
        <v>0</v>
      </c>
      <c r="T29">
        <v>0</v>
      </c>
    </row>
    <row r="30" spans="1:20" x14ac:dyDescent="0.25">
      <c r="A30">
        <v>29</v>
      </c>
      <c r="B30" t="s">
        <v>145</v>
      </c>
      <c r="C30">
        <v>11</v>
      </c>
      <c r="D30">
        <v>1.4079999999999999</v>
      </c>
      <c r="E30">
        <v>42.882307692307691</v>
      </c>
      <c r="F30">
        <v>80.498807692307679</v>
      </c>
      <c r="G30">
        <v>0</v>
      </c>
      <c r="H30">
        <v>0</v>
      </c>
      <c r="I30">
        <v>0</v>
      </c>
      <c r="J30">
        <v>2600</v>
      </c>
      <c r="K30">
        <v>7100</v>
      </c>
      <c r="L30">
        <v>9200</v>
      </c>
      <c r="M30">
        <v>3700</v>
      </c>
      <c r="N30">
        <v>0</v>
      </c>
      <c r="O30">
        <v>0</v>
      </c>
      <c r="P30">
        <v>0</v>
      </c>
      <c r="Q30">
        <v>0</v>
      </c>
      <c r="R30">
        <v>0</v>
      </c>
      <c r="S30">
        <v>0</v>
      </c>
      <c r="T30">
        <v>0</v>
      </c>
    </row>
    <row r="31" spans="1:20" x14ac:dyDescent="0.25">
      <c r="A31">
        <v>30</v>
      </c>
      <c r="B31" t="s">
        <v>146</v>
      </c>
      <c r="C31">
        <v>10</v>
      </c>
      <c r="D31">
        <v>1.6926666666666665</v>
      </c>
      <c r="E31">
        <v>2.2843750000000003</v>
      </c>
      <c r="F31">
        <v>66.289531249999996</v>
      </c>
      <c r="G31">
        <v>0</v>
      </c>
      <c r="H31">
        <v>0</v>
      </c>
      <c r="I31">
        <v>0</v>
      </c>
      <c r="J31">
        <v>3400</v>
      </c>
      <c r="K31">
        <v>9000</v>
      </c>
      <c r="L31">
        <v>5700</v>
      </c>
      <c r="M31">
        <v>2300</v>
      </c>
      <c r="N31">
        <v>0</v>
      </c>
      <c r="O31">
        <v>0</v>
      </c>
      <c r="P31">
        <v>0</v>
      </c>
      <c r="Q31">
        <v>0</v>
      </c>
      <c r="R31">
        <v>0</v>
      </c>
      <c r="S31">
        <v>0</v>
      </c>
      <c r="T31">
        <v>0</v>
      </c>
    </row>
    <row r="32" spans="1:20" x14ac:dyDescent="0.25">
      <c r="A32">
        <v>31</v>
      </c>
      <c r="B32" t="s">
        <v>147</v>
      </c>
      <c r="C32">
        <v>10</v>
      </c>
      <c r="D32">
        <v>2.806222222222222</v>
      </c>
      <c r="E32">
        <v>5.5681250000000002</v>
      </c>
      <c r="F32">
        <v>67.43884374999999</v>
      </c>
      <c r="G32">
        <v>0</v>
      </c>
      <c r="H32">
        <v>100</v>
      </c>
      <c r="I32">
        <v>9400</v>
      </c>
      <c r="J32">
        <v>9400</v>
      </c>
      <c r="K32">
        <v>3600</v>
      </c>
      <c r="L32">
        <v>6700</v>
      </c>
      <c r="M32">
        <v>3300</v>
      </c>
      <c r="N32">
        <v>0</v>
      </c>
      <c r="O32">
        <v>0</v>
      </c>
      <c r="P32">
        <v>0</v>
      </c>
      <c r="Q32">
        <v>0</v>
      </c>
      <c r="R32">
        <v>0</v>
      </c>
      <c r="S32">
        <v>0</v>
      </c>
      <c r="T32">
        <v>0</v>
      </c>
    </row>
    <row r="33" spans="1:20" x14ac:dyDescent="0.25">
      <c r="A33">
        <v>32</v>
      </c>
      <c r="B33" t="s">
        <v>148</v>
      </c>
      <c r="C33">
        <v>11</v>
      </c>
      <c r="D33">
        <v>9.0864444444444459</v>
      </c>
      <c r="E33">
        <v>16.496153846153845</v>
      </c>
      <c r="F33">
        <v>71.263653846153844</v>
      </c>
      <c r="G33">
        <v>900</v>
      </c>
      <c r="H33">
        <v>3800</v>
      </c>
      <c r="I33">
        <v>8800</v>
      </c>
      <c r="J33">
        <v>9200</v>
      </c>
      <c r="K33">
        <v>7100</v>
      </c>
      <c r="L33">
        <v>4600</v>
      </c>
      <c r="M33">
        <v>5500</v>
      </c>
      <c r="N33">
        <v>0</v>
      </c>
      <c r="O33">
        <v>0</v>
      </c>
      <c r="P33">
        <v>0</v>
      </c>
      <c r="Q33">
        <v>0</v>
      </c>
      <c r="R33">
        <v>0</v>
      </c>
      <c r="S33">
        <v>0</v>
      </c>
      <c r="T33">
        <v>0</v>
      </c>
    </row>
    <row r="34" spans="1:20" x14ac:dyDescent="0.25">
      <c r="A34">
        <v>33</v>
      </c>
      <c r="B34" t="s">
        <v>149</v>
      </c>
      <c r="C34">
        <v>11</v>
      </c>
      <c r="D34">
        <v>8.1900000000000013</v>
      </c>
      <c r="E34">
        <v>18.660769230769237</v>
      </c>
      <c r="F34">
        <v>72.021269230769221</v>
      </c>
      <c r="G34">
        <v>0</v>
      </c>
      <c r="H34">
        <v>8700</v>
      </c>
      <c r="I34">
        <v>6200</v>
      </c>
      <c r="J34">
        <v>7900</v>
      </c>
      <c r="K34">
        <v>7800</v>
      </c>
      <c r="L34">
        <v>5100</v>
      </c>
      <c r="M34">
        <v>7600</v>
      </c>
      <c r="N34">
        <v>0</v>
      </c>
      <c r="O34">
        <v>0</v>
      </c>
      <c r="P34">
        <v>0</v>
      </c>
      <c r="Q34">
        <v>0</v>
      </c>
      <c r="R34">
        <v>0</v>
      </c>
      <c r="S34">
        <v>0</v>
      </c>
      <c r="T34">
        <v>0</v>
      </c>
    </row>
    <row r="35" spans="1:20" x14ac:dyDescent="0.25">
      <c r="A35">
        <v>34</v>
      </c>
      <c r="B35" t="s">
        <v>150</v>
      </c>
      <c r="C35">
        <v>10</v>
      </c>
      <c r="D35">
        <v>2.2199999999999998</v>
      </c>
      <c r="E35">
        <v>2.2712500000000002</v>
      </c>
      <c r="F35">
        <v>66.284937499999998</v>
      </c>
      <c r="G35">
        <v>1300</v>
      </c>
      <c r="H35">
        <v>3600</v>
      </c>
      <c r="I35">
        <v>3700</v>
      </c>
      <c r="J35">
        <v>3100</v>
      </c>
      <c r="K35">
        <v>9500</v>
      </c>
      <c r="L35">
        <v>4400</v>
      </c>
      <c r="M35">
        <v>6900</v>
      </c>
      <c r="N35">
        <v>0</v>
      </c>
      <c r="O35">
        <v>0</v>
      </c>
      <c r="P35">
        <v>0</v>
      </c>
      <c r="Q35">
        <v>0</v>
      </c>
      <c r="R35">
        <v>0</v>
      </c>
      <c r="S35">
        <v>0</v>
      </c>
      <c r="T35">
        <v>0</v>
      </c>
    </row>
    <row r="36" spans="1:20" x14ac:dyDescent="0.25">
      <c r="A36">
        <v>35</v>
      </c>
      <c r="B36" t="s">
        <v>151</v>
      </c>
      <c r="C36">
        <v>11</v>
      </c>
      <c r="D36">
        <v>0.63177777777777777</v>
      </c>
      <c r="E36">
        <v>18.315384615384616</v>
      </c>
      <c r="F36">
        <v>71.90038461538461</v>
      </c>
      <c r="G36">
        <v>2500</v>
      </c>
      <c r="H36">
        <v>5100</v>
      </c>
      <c r="I36">
        <v>4700</v>
      </c>
      <c r="J36">
        <v>9300</v>
      </c>
      <c r="K36">
        <v>2400</v>
      </c>
      <c r="L36">
        <v>4800</v>
      </c>
      <c r="M36">
        <v>9800</v>
      </c>
      <c r="N36">
        <v>0</v>
      </c>
      <c r="O36">
        <v>0</v>
      </c>
      <c r="P36">
        <v>0</v>
      </c>
      <c r="Q36">
        <v>0</v>
      </c>
      <c r="R36">
        <v>0</v>
      </c>
      <c r="S36">
        <v>0</v>
      </c>
      <c r="T36">
        <v>0</v>
      </c>
    </row>
    <row r="37" spans="1:20" x14ac:dyDescent="0.25">
      <c r="A37">
        <v>36</v>
      </c>
      <c r="B37" t="s">
        <v>152</v>
      </c>
      <c r="C37">
        <v>10</v>
      </c>
      <c r="D37">
        <v>3.0862222222222218</v>
      </c>
      <c r="E37">
        <v>3.9318750000000011</v>
      </c>
      <c r="F37">
        <v>66.866156249999989</v>
      </c>
      <c r="G37">
        <v>0</v>
      </c>
      <c r="H37">
        <v>0</v>
      </c>
      <c r="I37">
        <v>4000</v>
      </c>
      <c r="J37">
        <v>7500</v>
      </c>
      <c r="K37">
        <v>10000</v>
      </c>
      <c r="L37">
        <v>6100</v>
      </c>
      <c r="M37">
        <v>6800</v>
      </c>
      <c r="N37">
        <v>0</v>
      </c>
      <c r="O37">
        <v>0</v>
      </c>
      <c r="P37">
        <v>0</v>
      </c>
      <c r="Q37">
        <v>0</v>
      </c>
      <c r="R37">
        <v>0</v>
      </c>
      <c r="S37">
        <v>0</v>
      </c>
      <c r="T37">
        <v>0</v>
      </c>
    </row>
    <row r="38" spans="1:20" x14ac:dyDescent="0.25">
      <c r="A38">
        <v>37</v>
      </c>
      <c r="B38" t="s">
        <v>153</v>
      </c>
      <c r="C38">
        <v>2</v>
      </c>
      <c r="D38">
        <v>9.2284444444444453</v>
      </c>
      <c r="E38">
        <v>64.074999999999989</v>
      </c>
      <c r="F38">
        <v>87.916249999999991</v>
      </c>
      <c r="G38">
        <v>500</v>
      </c>
      <c r="H38">
        <v>9900</v>
      </c>
      <c r="I38">
        <v>4000</v>
      </c>
      <c r="J38">
        <v>3800</v>
      </c>
      <c r="K38">
        <v>2800</v>
      </c>
      <c r="L38">
        <v>8500</v>
      </c>
      <c r="M38">
        <v>4100</v>
      </c>
      <c r="N38">
        <v>0</v>
      </c>
      <c r="O38">
        <v>0</v>
      </c>
      <c r="P38">
        <v>0</v>
      </c>
      <c r="Q38">
        <v>0</v>
      </c>
      <c r="R38">
        <v>0</v>
      </c>
      <c r="S38">
        <v>0</v>
      </c>
      <c r="T38">
        <v>0</v>
      </c>
    </row>
    <row r="39" spans="1:20" x14ac:dyDescent="0.25">
      <c r="A39">
        <v>38</v>
      </c>
      <c r="B39" t="s">
        <v>154</v>
      </c>
      <c r="C39">
        <v>10</v>
      </c>
      <c r="D39">
        <v>1.1562222222222223</v>
      </c>
      <c r="E39">
        <v>2.631875</v>
      </c>
      <c r="F39">
        <v>66.411156249999991</v>
      </c>
      <c r="G39">
        <v>0</v>
      </c>
      <c r="H39">
        <v>300</v>
      </c>
      <c r="I39">
        <v>10000</v>
      </c>
      <c r="J39">
        <v>8500</v>
      </c>
      <c r="K39">
        <v>7100</v>
      </c>
      <c r="L39">
        <v>4200</v>
      </c>
      <c r="M39">
        <v>5400</v>
      </c>
      <c r="N39">
        <v>0</v>
      </c>
      <c r="O39">
        <v>0</v>
      </c>
      <c r="P39">
        <v>0</v>
      </c>
      <c r="Q39">
        <v>0</v>
      </c>
      <c r="R39">
        <v>0</v>
      </c>
      <c r="S39">
        <v>0</v>
      </c>
      <c r="T39">
        <v>0</v>
      </c>
    </row>
    <row r="40" spans="1:20" x14ac:dyDescent="0.25">
      <c r="A40">
        <v>39</v>
      </c>
      <c r="B40" t="s">
        <v>155</v>
      </c>
      <c r="C40">
        <v>11</v>
      </c>
      <c r="D40">
        <v>0.90133333333333332</v>
      </c>
      <c r="E40">
        <v>17.953076923076928</v>
      </c>
      <c r="F40">
        <v>71.773576923076917</v>
      </c>
      <c r="G40">
        <v>1200</v>
      </c>
      <c r="H40">
        <v>9700</v>
      </c>
      <c r="I40">
        <v>6900</v>
      </c>
      <c r="J40">
        <v>9500</v>
      </c>
      <c r="K40">
        <v>9500</v>
      </c>
      <c r="L40">
        <v>8000</v>
      </c>
      <c r="M40">
        <v>9300</v>
      </c>
      <c r="N40">
        <v>0</v>
      </c>
      <c r="O40">
        <v>0</v>
      </c>
      <c r="P40">
        <v>0</v>
      </c>
      <c r="Q40">
        <v>0</v>
      </c>
      <c r="R40">
        <v>0</v>
      </c>
      <c r="S40">
        <v>0</v>
      </c>
      <c r="T40">
        <v>0</v>
      </c>
    </row>
    <row r="41" spans="1:20" x14ac:dyDescent="0.25">
      <c r="A41">
        <v>40</v>
      </c>
      <c r="B41" t="s">
        <v>156</v>
      </c>
      <c r="C41">
        <v>1</v>
      </c>
      <c r="D41">
        <v>8.2766666666666673</v>
      </c>
      <c r="E41">
        <v>33.378181818181815</v>
      </c>
      <c r="F41">
        <v>77.172363636363627</v>
      </c>
      <c r="G41">
        <v>1700</v>
      </c>
      <c r="H41">
        <v>9600</v>
      </c>
      <c r="I41">
        <v>8300</v>
      </c>
      <c r="J41">
        <v>6900</v>
      </c>
      <c r="K41">
        <v>4400</v>
      </c>
      <c r="L41">
        <v>8300</v>
      </c>
      <c r="M41">
        <v>5900</v>
      </c>
      <c r="N41">
        <v>0</v>
      </c>
      <c r="O41">
        <v>0</v>
      </c>
      <c r="P41">
        <v>0</v>
      </c>
      <c r="Q41">
        <v>0</v>
      </c>
      <c r="R41">
        <v>0</v>
      </c>
      <c r="S41">
        <v>0</v>
      </c>
      <c r="T41">
        <v>0</v>
      </c>
    </row>
    <row r="42" spans="1:20" x14ac:dyDescent="0.25">
      <c r="A42">
        <v>41</v>
      </c>
      <c r="B42" t="s">
        <v>157</v>
      </c>
      <c r="C42">
        <v>10</v>
      </c>
      <c r="D42">
        <v>1.4148888888888889</v>
      </c>
      <c r="E42">
        <v>3.4781250000000004</v>
      </c>
      <c r="F42">
        <v>66.707343749999993</v>
      </c>
      <c r="G42">
        <v>3900</v>
      </c>
      <c r="H42">
        <v>4100</v>
      </c>
      <c r="I42">
        <v>6500</v>
      </c>
      <c r="J42">
        <v>4000</v>
      </c>
      <c r="K42">
        <v>7400</v>
      </c>
      <c r="L42">
        <v>3900</v>
      </c>
      <c r="M42">
        <v>8300</v>
      </c>
      <c r="N42">
        <v>0</v>
      </c>
      <c r="O42">
        <v>0</v>
      </c>
      <c r="P42">
        <v>0</v>
      </c>
      <c r="Q42">
        <v>0</v>
      </c>
      <c r="R42">
        <v>0</v>
      </c>
      <c r="S42">
        <v>0</v>
      </c>
      <c r="T42">
        <v>0</v>
      </c>
    </row>
    <row r="43" spans="1:20" x14ac:dyDescent="0.25">
      <c r="A43">
        <v>42</v>
      </c>
      <c r="B43" t="s">
        <v>158</v>
      </c>
      <c r="C43">
        <v>10</v>
      </c>
      <c r="D43">
        <v>3.381555555555555</v>
      </c>
      <c r="E43">
        <v>3.05</v>
      </c>
      <c r="F43">
        <v>66.55749999999999</v>
      </c>
      <c r="G43">
        <v>7800</v>
      </c>
      <c r="H43">
        <v>7300</v>
      </c>
      <c r="I43">
        <v>2100</v>
      </c>
      <c r="J43">
        <v>6600</v>
      </c>
      <c r="K43">
        <v>4800</v>
      </c>
      <c r="L43">
        <v>3800</v>
      </c>
      <c r="M43">
        <v>8900</v>
      </c>
      <c r="N43">
        <v>0</v>
      </c>
      <c r="O43">
        <v>0</v>
      </c>
      <c r="P43">
        <v>0</v>
      </c>
      <c r="Q43">
        <v>0</v>
      </c>
      <c r="R43">
        <v>0</v>
      </c>
      <c r="S43">
        <v>0</v>
      </c>
      <c r="T43">
        <v>0</v>
      </c>
    </row>
    <row r="44" spans="1:20" x14ac:dyDescent="0.25">
      <c r="A44">
        <v>43</v>
      </c>
      <c r="B44" t="s">
        <v>159</v>
      </c>
      <c r="C44">
        <v>11</v>
      </c>
      <c r="D44">
        <v>1.860888888888889</v>
      </c>
      <c r="E44">
        <v>30.406153846153842</v>
      </c>
      <c r="F44">
        <v>76.132153846153841</v>
      </c>
      <c r="G44">
        <v>4800</v>
      </c>
      <c r="H44">
        <v>4200</v>
      </c>
      <c r="I44">
        <v>8900</v>
      </c>
      <c r="J44">
        <v>4900</v>
      </c>
      <c r="K44">
        <v>9200</v>
      </c>
      <c r="L44">
        <v>7500</v>
      </c>
      <c r="M44">
        <v>5800</v>
      </c>
      <c r="N44">
        <v>0</v>
      </c>
      <c r="O44">
        <v>0</v>
      </c>
      <c r="P44">
        <v>0</v>
      </c>
      <c r="Q44">
        <v>0</v>
      </c>
      <c r="R44">
        <v>0</v>
      </c>
      <c r="S44">
        <v>0</v>
      </c>
      <c r="T44">
        <v>0</v>
      </c>
    </row>
    <row r="45" spans="1:20" x14ac:dyDescent="0.25">
      <c r="A45">
        <v>44</v>
      </c>
      <c r="B45" t="s">
        <v>160</v>
      </c>
      <c r="C45">
        <v>11</v>
      </c>
      <c r="D45">
        <v>4.3777777777777777E-2</v>
      </c>
      <c r="E45">
        <v>16.097692307692306</v>
      </c>
      <c r="F45">
        <v>71.124192307692297</v>
      </c>
      <c r="G45">
        <v>4500</v>
      </c>
      <c r="H45">
        <v>7700</v>
      </c>
      <c r="I45">
        <v>2900</v>
      </c>
      <c r="J45">
        <v>2400</v>
      </c>
      <c r="K45">
        <v>2700</v>
      </c>
      <c r="L45">
        <v>2800</v>
      </c>
      <c r="M45">
        <v>6200</v>
      </c>
      <c r="N45">
        <v>0</v>
      </c>
      <c r="O45">
        <v>0</v>
      </c>
      <c r="P45">
        <v>0</v>
      </c>
      <c r="Q45">
        <v>0</v>
      </c>
      <c r="R45">
        <v>0</v>
      </c>
      <c r="S45">
        <v>0</v>
      </c>
      <c r="T45">
        <v>0</v>
      </c>
    </row>
    <row r="46" spans="1:20" x14ac:dyDescent="0.25">
      <c r="A46">
        <v>45</v>
      </c>
      <c r="B46" t="s">
        <v>161</v>
      </c>
      <c r="C46">
        <v>1</v>
      </c>
      <c r="D46">
        <v>9.4653333333333336</v>
      </c>
      <c r="E46">
        <v>39.678181818181827</v>
      </c>
      <c r="F46">
        <v>79.37736363636364</v>
      </c>
      <c r="G46">
        <v>6000</v>
      </c>
      <c r="H46">
        <v>2900</v>
      </c>
      <c r="I46">
        <v>5700</v>
      </c>
      <c r="J46">
        <v>4600</v>
      </c>
      <c r="K46">
        <v>8900</v>
      </c>
      <c r="L46">
        <v>2300</v>
      </c>
      <c r="M46">
        <v>5800</v>
      </c>
      <c r="N46">
        <v>0</v>
      </c>
      <c r="O46">
        <v>0</v>
      </c>
      <c r="P46">
        <v>0</v>
      </c>
      <c r="Q46">
        <v>0</v>
      </c>
      <c r="R46">
        <v>0</v>
      </c>
      <c r="S46">
        <v>0</v>
      </c>
      <c r="T46">
        <v>0</v>
      </c>
    </row>
    <row r="47" spans="1:20" x14ac:dyDescent="0.25">
      <c r="A47">
        <v>46</v>
      </c>
      <c r="B47" t="s">
        <v>162</v>
      </c>
      <c r="C47">
        <v>11</v>
      </c>
      <c r="D47">
        <v>0.30511111111111111</v>
      </c>
      <c r="E47">
        <v>16.596923076923076</v>
      </c>
      <c r="F47">
        <v>71.298923076923074</v>
      </c>
      <c r="G47">
        <v>5100</v>
      </c>
      <c r="H47">
        <v>5500</v>
      </c>
      <c r="I47">
        <v>3200</v>
      </c>
      <c r="J47">
        <v>2700</v>
      </c>
      <c r="K47">
        <v>5600</v>
      </c>
      <c r="L47">
        <v>3400</v>
      </c>
      <c r="M47">
        <v>5900</v>
      </c>
      <c r="N47">
        <v>0</v>
      </c>
      <c r="O47">
        <v>0</v>
      </c>
      <c r="P47">
        <v>0</v>
      </c>
      <c r="Q47">
        <v>0</v>
      </c>
      <c r="R47">
        <v>0</v>
      </c>
      <c r="S47">
        <v>0</v>
      </c>
      <c r="T47">
        <v>0</v>
      </c>
    </row>
    <row r="48" spans="1:20" x14ac:dyDescent="0.25">
      <c r="A48">
        <v>47</v>
      </c>
      <c r="B48" t="s">
        <v>163</v>
      </c>
      <c r="C48">
        <v>1</v>
      </c>
      <c r="D48">
        <v>7.7146666666666679</v>
      </c>
      <c r="E48">
        <v>32.596363636363641</v>
      </c>
      <c r="F48">
        <v>76.898727272727271</v>
      </c>
      <c r="G48">
        <v>0</v>
      </c>
      <c r="H48">
        <v>7800</v>
      </c>
      <c r="I48">
        <v>7100</v>
      </c>
      <c r="J48">
        <v>6600</v>
      </c>
      <c r="K48">
        <v>3500</v>
      </c>
      <c r="L48">
        <v>9700</v>
      </c>
      <c r="M48">
        <v>2400</v>
      </c>
      <c r="N48">
        <v>0</v>
      </c>
      <c r="O48">
        <v>0</v>
      </c>
      <c r="P48">
        <v>0</v>
      </c>
      <c r="Q48">
        <v>0</v>
      </c>
      <c r="R48">
        <v>0</v>
      </c>
      <c r="S48">
        <v>0</v>
      </c>
      <c r="T48">
        <v>0</v>
      </c>
    </row>
    <row r="49" spans="1:20" x14ac:dyDescent="0.25">
      <c r="A49">
        <v>48</v>
      </c>
      <c r="B49" t="s">
        <v>164</v>
      </c>
      <c r="C49">
        <v>1</v>
      </c>
      <c r="D49">
        <v>8.8780000000000001</v>
      </c>
      <c r="E49">
        <v>36.052727272727267</v>
      </c>
      <c r="F49">
        <v>78.108454545454535</v>
      </c>
      <c r="G49">
        <v>0</v>
      </c>
      <c r="H49">
        <v>900</v>
      </c>
      <c r="I49">
        <v>9200</v>
      </c>
      <c r="J49">
        <v>3300</v>
      </c>
      <c r="K49">
        <v>2200</v>
      </c>
      <c r="L49">
        <v>5900</v>
      </c>
      <c r="M49">
        <v>5800</v>
      </c>
      <c r="N49">
        <v>0</v>
      </c>
      <c r="O49">
        <v>0</v>
      </c>
      <c r="P49">
        <v>0</v>
      </c>
      <c r="Q49">
        <v>0</v>
      </c>
      <c r="R49">
        <v>0</v>
      </c>
      <c r="S49">
        <v>0</v>
      </c>
      <c r="T49">
        <v>0</v>
      </c>
    </row>
    <row r="50" spans="1:20" x14ac:dyDescent="0.25">
      <c r="A50">
        <v>49</v>
      </c>
      <c r="B50" t="s">
        <v>165</v>
      </c>
      <c r="C50">
        <v>2</v>
      </c>
      <c r="D50">
        <v>9.5155555555555562</v>
      </c>
      <c r="E50">
        <v>63.910000000000011</v>
      </c>
      <c r="F50">
        <v>87.858499999999992</v>
      </c>
      <c r="G50">
        <v>600</v>
      </c>
      <c r="H50">
        <v>4700</v>
      </c>
      <c r="I50">
        <v>8400</v>
      </c>
      <c r="J50">
        <v>8000</v>
      </c>
      <c r="K50">
        <v>7800</v>
      </c>
      <c r="L50">
        <v>6000</v>
      </c>
      <c r="M50">
        <v>8400</v>
      </c>
      <c r="N50">
        <v>0</v>
      </c>
      <c r="O50">
        <v>0</v>
      </c>
      <c r="P50">
        <v>0</v>
      </c>
      <c r="Q50">
        <v>0</v>
      </c>
      <c r="R50">
        <v>0</v>
      </c>
      <c r="S50">
        <v>0</v>
      </c>
      <c r="T50">
        <v>0</v>
      </c>
    </row>
    <row r="51" spans="1:20" x14ac:dyDescent="0.25">
      <c r="A51">
        <v>50</v>
      </c>
      <c r="B51" t="s">
        <v>166</v>
      </c>
      <c r="C51">
        <v>1</v>
      </c>
      <c r="D51">
        <v>7.3317777777777788</v>
      </c>
      <c r="E51">
        <v>33.162727272727274</v>
      </c>
      <c r="F51">
        <v>77.096954545454537</v>
      </c>
      <c r="G51">
        <v>1600</v>
      </c>
      <c r="H51">
        <v>4600</v>
      </c>
      <c r="I51">
        <v>7700</v>
      </c>
      <c r="J51">
        <v>2400</v>
      </c>
      <c r="K51">
        <v>5300</v>
      </c>
      <c r="L51">
        <v>2300</v>
      </c>
      <c r="M51">
        <v>2900</v>
      </c>
      <c r="N51">
        <v>0</v>
      </c>
      <c r="O51">
        <v>0</v>
      </c>
      <c r="P51">
        <v>0</v>
      </c>
      <c r="Q51">
        <v>0</v>
      </c>
      <c r="R51">
        <v>0</v>
      </c>
      <c r="S51">
        <v>0</v>
      </c>
      <c r="T51">
        <v>0</v>
      </c>
    </row>
  </sheetData>
  <sortState ref="A2:E40">
    <sortCondition ref="C2:C40"/>
    <sortCondition ref="D2:D40"/>
  </sortState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>
    <tabColor rgb="FFFF0000"/>
  </sheetPr>
  <dimension ref="A1:C2501"/>
  <sheetViews>
    <sheetView workbookViewId="0">
      <selection sqref="A1:C1048576"/>
    </sheetView>
  </sheetViews>
  <sheetFormatPr defaultRowHeight="15" x14ac:dyDescent="0.25"/>
  <cols>
    <col min="3" max="3" width="14.5703125" customWidth="1"/>
  </cols>
  <sheetData>
    <row r="1" spans="1:3" x14ac:dyDescent="0.25">
      <c r="A1" t="s">
        <v>61</v>
      </c>
      <c r="B1" t="s">
        <v>62</v>
      </c>
      <c r="C1" t="s">
        <v>63</v>
      </c>
    </row>
    <row r="2" spans="1:3" x14ac:dyDescent="0.25">
      <c r="A2">
        <v>8</v>
      </c>
      <c r="B2">
        <v>8</v>
      </c>
      <c r="C2">
        <v>251.34</v>
      </c>
    </row>
    <row r="3" spans="1:3" x14ac:dyDescent="0.25">
      <c r="A3">
        <v>6</v>
      </c>
      <c r="B3">
        <v>6</v>
      </c>
      <c r="C3">
        <v>241.74</v>
      </c>
    </row>
    <row r="4" spans="1:3" x14ac:dyDescent="0.25">
      <c r="A4">
        <v>3</v>
      </c>
      <c r="B4">
        <v>3</v>
      </c>
      <c r="C4">
        <v>211.72</v>
      </c>
    </row>
    <row r="5" spans="1:3" x14ac:dyDescent="0.25">
      <c r="A5">
        <v>4</v>
      </c>
      <c r="B5">
        <v>4</v>
      </c>
      <c r="C5">
        <v>171.04</v>
      </c>
    </row>
    <row r="6" spans="1:3" x14ac:dyDescent="0.25">
      <c r="A6">
        <v>7</v>
      </c>
      <c r="B6">
        <v>7</v>
      </c>
      <c r="C6">
        <v>163.06</v>
      </c>
    </row>
    <row r="7" spans="1:3" x14ac:dyDescent="0.25">
      <c r="A7">
        <v>12</v>
      </c>
      <c r="B7">
        <v>12</v>
      </c>
      <c r="C7">
        <v>144.94</v>
      </c>
    </row>
    <row r="8" spans="1:3" x14ac:dyDescent="0.25">
      <c r="A8">
        <v>3</v>
      </c>
      <c r="B8">
        <v>12</v>
      </c>
      <c r="C8">
        <v>142.31</v>
      </c>
    </row>
    <row r="9" spans="1:3" x14ac:dyDescent="0.25">
      <c r="A9">
        <v>12</v>
      </c>
      <c r="B9">
        <v>3</v>
      </c>
      <c r="C9">
        <v>142.31</v>
      </c>
    </row>
    <row r="10" spans="1:3" x14ac:dyDescent="0.25">
      <c r="A10">
        <v>8</v>
      </c>
      <c r="B10">
        <v>10</v>
      </c>
      <c r="C10">
        <v>139.18</v>
      </c>
    </row>
    <row r="11" spans="1:3" x14ac:dyDescent="0.25">
      <c r="A11">
        <v>10</v>
      </c>
      <c r="B11">
        <v>8</v>
      </c>
      <c r="C11">
        <v>139.18</v>
      </c>
    </row>
    <row r="12" spans="1:3" x14ac:dyDescent="0.25">
      <c r="A12">
        <v>10</v>
      </c>
      <c r="B12">
        <v>10</v>
      </c>
      <c r="C12">
        <v>139.18</v>
      </c>
    </row>
    <row r="13" spans="1:3" x14ac:dyDescent="0.25">
      <c r="A13">
        <v>11</v>
      </c>
      <c r="B13">
        <v>11</v>
      </c>
      <c r="C13">
        <v>133.16</v>
      </c>
    </row>
    <row r="14" spans="1:3" x14ac:dyDescent="0.25">
      <c r="A14">
        <v>3</v>
      </c>
      <c r="B14">
        <v>4</v>
      </c>
      <c r="C14">
        <v>131.1</v>
      </c>
    </row>
    <row r="15" spans="1:3" x14ac:dyDescent="0.25">
      <c r="A15">
        <v>4</v>
      </c>
      <c r="B15">
        <v>3</v>
      </c>
      <c r="C15">
        <v>131.1</v>
      </c>
    </row>
    <row r="16" spans="1:3" x14ac:dyDescent="0.25">
      <c r="A16">
        <v>7</v>
      </c>
      <c r="B16">
        <v>8</v>
      </c>
      <c r="C16">
        <v>124.8</v>
      </c>
    </row>
    <row r="17" spans="1:3" x14ac:dyDescent="0.25">
      <c r="A17">
        <v>8</v>
      </c>
      <c r="B17">
        <v>7</v>
      </c>
      <c r="C17">
        <v>124.8</v>
      </c>
    </row>
    <row r="18" spans="1:3" x14ac:dyDescent="0.25">
      <c r="A18">
        <v>2</v>
      </c>
      <c r="B18">
        <v>2</v>
      </c>
      <c r="C18">
        <v>116.96</v>
      </c>
    </row>
    <row r="19" spans="1:3" x14ac:dyDescent="0.25">
      <c r="A19">
        <v>2</v>
      </c>
      <c r="B19">
        <v>3</v>
      </c>
      <c r="C19">
        <v>116.5</v>
      </c>
    </row>
    <row r="20" spans="1:3" x14ac:dyDescent="0.25">
      <c r="A20">
        <v>3</v>
      </c>
      <c r="B20">
        <v>2</v>
      </c>
      <c r="C20">
        <v>116.5</v>
      </c>
    </row>
    <row r="21" spans="1:3" x14ac:dyDescent="0.25">
      <c r="A21">
        <v>2</v>
      </c>
      <c r="B21">
        <v>12</v>
      </c>
      <c r="C21">
        <v>110.09</v>
      </c>
    </row>
    <row r="22" spans="1:3" x14ac:dyDescent="0.25">
      <c r="A22">
        <v>12</v>
      </c>
      <c r="B22">
        <v>2</v>
      </c>
      <c r="C22">
        <v>110.09</v>
      </c>
    </row>
    <row r="23" spans="1:3" x14ac:dyDescent="0.25">
      <c r="A23">
        <v>5</v>
      </c>
      <c r="B23">
        <v>5</v>
      </c>
      <c r="C23">
        <v>109.7</v>
      </c>
    </row>
    <row r="24" spans="1:3" x14ac:dyDescent="0.25">
      <c r="A24">
        <v>3</v>
      </c>
      <c r="B24">
        <v>11</v>
      </c>
      <c r="C24">
        <v>103.66</v>
      </c>
    </row>
    <row r="25" spans="1:3" x14ac:dyDescent="0.25">
      <c r="A25">
        <v>11</v>
      </c>
      <c r="B25">
        <v>3</v>
      </c>
      <c r="C25">
        <v>103.66</v>
      </c>
    </row>
    <row r="26" spans="1:3" x14ac:dyDescent="0.25">
      <c r="A26">
        <v>5</v>
      </c>
      <c r="B26">
        <v>11</v>
      </c>
      <c r="C26">
        <v>102.75999999999999</v>
      </c>
    </row>
    <row r="27" spans="1:3" x14ac:dyDescent="0.25">
      <c r="A27">
        <v>11</v>
      </c>
      <c r="B27">
        <v>5</v>
      </c>
      <c r="C27">
        <v>102.75999999999999</v>
      </c>
    </row>
    <row r="28" spans="1:3" x14ac:dyDescent="0.25">
      <c r="A28">
        <v>11</v>
      </c>
      <c r="B28">
        <v>12</v>
      </c>
      <c r="C28">
        <v>102.1</v>
      </c>
    </row>
    <row r="29" spans="1:3" x14ac:dyDescent="0.25">
      <c r="A29">
        <v>12</v>
      </c>
      <c r="B29">
        <v>11</v>
      </c>
      <c r="C29">
        <v>102.1</v>
      </c>
    </row>
    <row r="30" spans="1:3" x14ac:dyDescent="0.25">
      <c r="A30">
        <v>2</v>
      </c>
      <c r="B30">
        <v>4</v>
      </c>
      <c r="C30">
        <v>98.579999999999984</v>
      </c>
    </row>
    <row r="31" spans="1:3" x14ac:dyDescent="0.25">
      <c r="A31">
        <v>4</v>
      </c>
      <c r="B31">
        <v>2</v>
      </c>
      <c r="C31">
        <v>98.579999999999984</v>
      </c>
    </row>
    <row r="32" spans="1:3" x14ac:dyDescent="0.25">
      <c r="A32">
        <v>4</v>
      </c>
      <c r="B32">
        <v>12</v>
      </c>
      <c r="C32">
        <v>98.139999999999986</v>
      </c>
    </row>
    <row r="33" spans="1:3" x14ac:dyDescent="0.25">
      <c r="A33">
        <v>12</v>
      </c>
      <c r="B33">
        <v>4</v>
      </c>
      <c r="C33">
        <v>98.139999999999986</v>
      </c>
    </row>
    <row r="34" spans="1:3" x14ac:dyDescent="0.25">
      <c r="A34">
        <v>7</v>
      </c>
      <c r="B34">
        <v>10</v>
      </c>
      <c r="C34">
        <v>98.13</v>
      </c>
    </row>
    <row r="35" spans="1:3" x14ac:dyDescent="0.25">
      <c r="A35">
        <v>10</v>
      </c>
      <c r="B35">
        <v>7</v>
      </c>
      <c r="C35">
        <v>98.13</v>
      </c>
    </row>
    <row r="36" spans="1:3" x14ac:dyDescent="0.25">
      <c r="A36">
        <v>5</v>
      </c>
      <c r="B36">
        <v>7</v>
      </c>
      <c r="C36">
        <v>94.09</v>
      </c>
    </row>
    <row r="37" spans="1:3" x14ac:dyDescent="0.25">
      <c r="A37">
        <v>7</v>
      </c>
      <c r="B37">
        <v>5</v>
      </c>
      <c r="C37">
        <v>94.09</v>
      </c>
    </row>
    <row r="38" spans="1:3" x14ac:dyDescent="0.25">
      <c r="A38">
        <v>7</v>
      </c>
      <c r="B38">
        <v>11</v>
      </c>
      <c r="C38">
        <v>92.990000000000009</v>
      </c>
    </row>
    <row r="39" spans="1:3" x14ac:dyDescent="0.25">
      <c r="A39">
        <v>11</v>
      </c>
      <c r="B39">
        <v>7</v>
      </c>
      <c r="C39">
        <v>92.990000000000009</v>
      </c>
    </row>
    <row r="40" spans="1:3" x14ac:dyDescent="0.25">
      <c r="A40">
        <v>14</v>
      </c>
      <c r="B40">
        <v>14</v>
      </c>
      <c r="C40">
        <v>82.96</v>
      </c>
    </row>
    <row r="41" spans="1:3" x14ac:dyDescent="0.25">
      <c r="A41">
        <v>2</v>
      </c>
      <c r="B41">
        <v>11</v>
      </c>
      <c r="C41">
        <v>77.53</v>
      </c>
    </row>
    <row r="42" spans="1:3" x14ac:dyDescent="0.25">
      <c r="A42">
        <v>11</v>
      </c>
      <c r="B42">
        <v>2</v>
      </c>
      <c r="C42">
        <v>77.53</v>
      </c>
    </row>
    <row r="43" spans="1:3" x14ac:dyDescent="0.25">
      <c r="A43">
        <v>5</v>
      </c>
      <c r="B43">
        <v>12</v>
      </c>
      <c r="C43">
        <v>76.67</v>
      </c>
    </row>
    <row r="44" spans="1:3" x14ac:dyDescent="0.25">
      <c r="A44">
        <v>12</v>
      </c>
      <c r="B44">
        <v>5</v>
      </c>
      <c r="C44">
        <v>76.67</v>
      </c>
    </row>
    <row r="45" spans="1:3" x14ac:dyDescent="0.25">
      <c r="A45">
        <v>3</v>
      </c>
      <c r="B45">
        <v>5</v>
      </c>
      <c r="C45">
        <v>75.610000000000014</v>
      </c>
    </row>
    <row r="46" spans="1:3" x14ac:dyDescent="0.25">
      <c r="A46">
        <v>5</v>
      </c>
      <c r="B46">
        <v>3</v>
      </c>
      <c r="C46">
        <v>75.610000000000014</v>
      </c>
    </row>
    <row r="47" spans="1:3" x14ac:dyDescent="0.25">
      <c r="A47">
        <v>6</v>
      </c>
      <c r="B47">
        <v>14</v>
      </c>
      <c r="C47">
        <v>64.31</v>
      </c>
    </row>
    <row r="48" spans="1:3" x14ac:dyDescent="0.25">
      <c r="A48">
        <v>14</v>
      </c>
      <c r="B48">
        <v>6</v>
      </c>
      <c r="C48">
        <v>64.31</v>
      </c>
    </row>
    <row r="49" spans="1:3" x14ac:dyDescent="0.25">
      <c r="A49">
        <v>8</v>
      </c>
      <c r="B49">
        <v>14</v>
      </c>
      <c r="C49">
        <v>63.93</v>
      </c>
    </row>
    <row r="50" spans="1:3" x14ac:dyDescent="0.25">
      <c r="A50">
        <v>14</v>
      </c>
      <c r="B50">
        <v>8</v>
      </c>
      <c r="C50">
        <v>63.93</v>
      </c>
    </row>
    <row r="51" spans="1:3" x14ac:dyDescent="0.25">
      <c r="A51">
        <v>3</v>
      </c>
      <c r="B51">
        <v>7</v>
      </c>
      <c r="C51">
        <v>63.680000000000007</v>
      </c>
    </row>
    <row r="52" spans="1:3" x14ac:dyDescent="0.25">
      <c r="A52">
        <v>7</v>
      </c>
      <c r="B52">
        <v>3</v>
      </c>
      <c r="C52">
        <v>63.680000000000007</v>
      </c>
    </row>
    <row r="53" spans="1:3" x14ac:dyDescent="0.25">
      <c r="A53">
        <v>5</v>
      </c>
      <c r="B53">
        <v>8</v>
      </c>
      <c r="C53">
        <v>63.160000000000004</v>
      </c>
    </row>
    <row r="54" spans="1:3" x14ac:dyDescent="0.25">
      <c r="A54">
        <v>8</v>
      </c>
      <c r="B54">
        <v>5</v>
      </c>
      <c r="C54">
        <v>63.160000000000004</v>
      </c>
    </row>
    <row r="55" spans="1:3" x14ac:dyDescent="0.25">
      <c r="A55">
        <v>7</v>
      </c>
      <c r="B55">
        <v>12</v>
      </c>
      <c r="C55">
        <v>62.480000000000004</v>
      </c>
    </row>
    <row r="56" spans="1:3" x14ac:dyDescent="0.25">
      <c r="A56">
        <v>12</v>
      </c>
      <c r="B56">
        <v>7</v>
      </c>
      <c r="C56">
        <v>62.480000000000004</v>
      </c>
    </row>
    <row r="57" spans="1:3" x14ac:dyDescent="0.25">
      <c r="A57">
        <v>6</v>
      </c>
      <c r="B57">
        <v>8</v>
      </c>
      <c r="C57">
        <v>62.17</v>
      </c>
    </row>
    <row r="58" spans="1:3" x14ac:dyDescent="0.25">
      <c r="A58">
        <v>8</v>
      </c>
      <c r="B58">
        <v>6</v>
      </c>
      <c r="C58">
        <v>62.17</v>
      </c>
    </row>
    <row r="59" spans="1:3" x14ac:dyDescent="0.25">
      <c r="A59">
        <v>28</v>
      </c>
      <c r="B59">
        <v>28</v>
      </c>
      <c r="C59">
        <v>60.76</v>
      </c>
    </row>
    <row r="60" spans="1:3" x14ac:dyDescent="0.25">
      <c r="A60">
        <v>2</v>
      </c>
      <c r="B60">
        <v>28</v>
      </c>
      <c r="C60">
        <v>60.69</v>
      </c>
    </row>
    <row r="61" spans="1:3" x14ac:dyDescent="0.25">
      <c r="A61">
        <v>28</v>
      </c>
      <c r="B61">
        <v>2</v>
      </c>
      <c r="C61">
        <v>60.69</v>
      </c>
    </row>
    <row r="62" spans="1:3" x14ac:dyDescent="0.25">
      <c r="A62">
        <v>3</v>
      </c>
      <c r="B62">
        <v>28</v>
      </c>
      <c r="C62">
        <v>60.399999999999991</v>
      </c>
    </row>
    <row r="63" spans="1:3" x14ac:dyDescent="0.25">
      <c r="A63">
        <v>28</v>
      </c>
      <c r="B63">
        <v>3</v>
      </c>
      <c r="C63">
        <v>60.399999999999991</v>
      </c>
    </row>
    <row r="64" spans="1:3" x14ac:dyDescent="0.25">
      <c r="A64">
        <v>4</v>
      </c>
      <c r="B64">
        <v>11</v>
      </c>
      <c r="C64">
        <v>59.33</v>
      </c>
    </row>
    <row r="65" spans="1:3" x14ac:dyDescent="0.25">
      <c r="A65">
        <v>11</v>
      </c>
      <c r="B65">
        <v>4</v>
      </c>
      <c r="C65">
        <v>59.33</v>
      </c>
    </row>
    <row r="66" spans="1:3" x14ac:dyDescent="0.25">
      <c r="A66">
        <v>12</v>
      </c>
      <c r="B66">
        <v>28</v>
      </c>
      <c r="C66">
        <v>58.72</v>
      </c>
    </row>
    <row r="67" spans="1:3" x14ac:dyDescent="0.25">
      <c r="A67">
        <v>28</v>
      </c>
      <c r="B67">
        <v>12</v>
      </c>
      <c r="C67">
        <v>58.72</v>
      </c>
    </row>
    <row r="68" spans="1:3" x14ac:dyDescent="0.25">
      <c r="A68">
        <v>10</v>
      </c>
      <c r="B68">
        <v>14</v>
      </c>
      <c r="C68">
        <v>58.4</v>
      </c>
    </row>
    <row r="69" spans="1:3" x14ac:dyDescent="0.25">
      <c r="A69">
        <v>14</v>
      </c>
      <c r="B69">
        <v>10</v>
      </c>
      <c r="C69">
        <v>58.4</v>
      </c>
    </row>
    <row r="70" spans="1:3" x14ac:dyDescent="0.25">
      <c r="A70">
        <v>2</v>
      </c>
      <c r="B70">
        <v>5</v>
      </c>
      <c r="C70">
        <v>58.39</v>
      </c>
    </row>
    <row r="71" spans="1:3" x14ac:dyDescent="0.25">
      <c r="A71">
        <v>5</v>
      </c>
      <c r="B71">
        <v>2</v>
      </c>
      <c r="C71">
        <v>58.39</v>
      </c>
    </row>
    <row r="72" spans="1:3" x14ac:dyDescent="0.25">
      <c r="A72">
        <v>8</v>
      </c>
      <c r="B72">
        <v>11</v>
      </c>
      <c r="C72">
        <v>58.02000000000001</v>
      </c>
    </row>
    <row r="73" spans="1:3" x14ac:dyDescent="0.25">
      <c r="A73">
        <v>11</v>
      </c>
      <c r="B73">
        <v>8</v>
      </c>
      <c r="C73">
        <v>58.02000000000001</v>
      </c>
    </row>
    <row r="74" spans="1:3" x14ac:dyDescent="0.25">
      <c r="A74">
        <v>4</v>
      </c>
      <c r="B74">
        <v>28</v>
      </c>
      <c r="C74">
        <v>55.72</v>
      </c>
    </row>
    <row r="75" spans="1:3" x14ac:dyDescent="0.25">
      <c r="A75">
        <v>28</v>
      </c>
      <c r="B75">
        <v>4</v>
      </c>
      <c r="C75">
        <v>55.72</v>
      </c>
    </row>
    <row r="76" spans="1:3" x14ac:dyDescent="0.25">
      <c r="A76">
        <v>5</v>
      </c>
      <c r="B76">
        <v>10</v>
      </c>
      <c r="C76">
        <v>53.360000000000007</v>
      </c>
    </row>
    <row r="77" spans="1:3" x14ac:dyDescent="0.25">
      <c r="A77">
        <v>10</v>
      </c>
      <c r="B77">
        <v>5</v>
      </c>
      <c r="C77">
        <v>53.360000000000007</v>
      </c>
    </row>
    <row r="78" spans="1:3" x14ac:dyDescent="0.25">
      <c r="A78">
        <v>50</v>
      </c>
      <c r="B78">
        <v>50</v>
      </c>
      <c r="C78">
        <v>51.8</v>
      </c>
    </row>
    <row r="79" spans="1:3" x14ac:dyDescent="0.25">
      <c r="A79">
        <v>3</v>
      </c>
      <c r="B79">
        <v>50</v>
      </c>
      <c r="C79">
        <v>51.79</v>
      </c>
    </row>
    <row r="80" spans="1:3" x14ac:dyDescent="0.25">
      <c r="A80">
        <v>50</v>
      </c>
      <c r="B80">
        <v>3</v>
      </c>
      <c r="C80">
        <v>51.79</v>
      </c>
    </row>
    <row r="81" spans="1:3" x14ac:dyDescent="0.25">
      <c r="A81">
        <v>2</v>
      </c>
      <c r="B81">
        <v>50</v>
      </c>
      <c r="C81">
        <v>51.72</v>
      </c>
    </row>
    <row r="82" spans="1:3" x14ac:dyDescent="0.25">
      <c r="A82">
        <v>50</v>
      </c>
      <c r="B82">
        <v>2</v>
      </c>
      <c r="C82">
        <v>51.72</v>
      </c>
    </row>
    <row r="83" spans="1:3" x14ac:dyDescent="0.25">
      <c r="A83">
        <v>12</v>
      </c>
      <c r="B83">
        <v>50</v>
      </c>
      <c r="C83">
        <v>51.16</v>
      </c>
    </row>
    <row r="84" spans="1:3" x14ac:dyDescent="0.25">
      <c r="A84">
        <v>50</v>
      </c>
      <c r="B84">
        <v>12</v>
      </c>
      <c r="C84">
        <v>51.16</v>
      </c>
    </row>
    <row r="85" spans="1:3" x14ac:dyDescent="0.25">
      <c r="A85">
        <v>28</v>
      </c>
      <c r="B85">
        <v>50</v>
      </c>
      <c r="C85">
        <v>50.94</v>
      </c>
    </row>
    <row r="86" spans="1:3" x14ac:dyDescent="0.25">
      <c r="A86">
        <v>50</v>
      </c>
      <c r="B86">
        <v>28</v>
      </c>
      <c r="C86">
        <v>50.94</v>
      </c>
    </row>
    <row r="87" spans="1:3" x14ac:dyDescent="0.25">
      <c r="A87">
        <v>10</v>
      </c>
      <c r="B87">
        <v>11</v>
      </c>
      <c r="C87">
        <v>46.540000000000006</v>
      </c>
    </row>
    <row r="88" spans="1:3" x14ac:dyDescent="0.25">
      <c r="A88">
        <v>11</v>
      </c>
      <c r="B88">
        <v>10</v>
      </c>
      <c r="C88">
        <v>46.540000000000006</v>
      </c>
    </row>
    <row r="89" spans="1:3" x14ac:dyDescent="0.25">
      <c r="A89">
        <v>11</v>
      </c>
      <c r="B89">
        <v>28</v>
      </c>
      <c r="C89">
        <v>46.17</v>
      </c>
    </row>
    <row r="90" spans="1:3" x14ac:dyDescent="0.25">
      <c r="A90">
        <v>28</v>
      </c>
      <c r="B90">
        <v>11</v>
      </c>
      <c r="C90">
        <v>46.17</v>
      </c>
    </row>
    <row r="91" spans="1:3" x14ac:dyDescent="0.25">
      <c r="A91">
        <v>4</v>
      </c>
      <c r="B91">
        <v>50</v>
      </c>
      <c r="C91">
        <v>45.989999999999988</v>
      </c>
    </row>
    <row r="92" spans="1:3" x14ac:dyDescent="0.25">
      <c r="A92">
        <v>50</v>
      </c>
      <c r="B92">
        <v>4</v>
      </c>
      <c r="C92">
        <v>45.989999999999988</v>
      </c>
    </row>
    <row r="93" spans="1:3" x14ac:dyDescent="0.25">
      <c r="A93">
        <v>6</v>
      </c>
      <c r="B93">
        <v>10</v>
      </c>
      <c r="C93">
        <v>43.920000000000016</v>
      </c>
    </row>
    <row r="94" spans="1:3" x14ac:dyDescent="0.25">
      <c r="A94">
        <v>10</v>
      </c>
      <c r="B94">
        <v>6</v>
      </c>
      <c r="C94">
        <v>43.920000000000016</v>
      </c>
    </row>
    <row r="95" spans="1:3" x14ac:dyDescent="0.25">
      <c r="A95">
        <v>2</v>
      </c>
      <c r="B95">
        <v>7</v>
      </c>
      <c r="C95">
        <v>42.800000000000004</v>
      </c>
    </row>
    <row r="96" spans="1:3" x14ac:dyDescent="0.25">
      <c r="A96">
        <v>7</v>
      </c>
      <c r="B96">
        <v>2</v>
      </c>
      <c r="C96">
        <v>42.800000000000004</v>
      </c>
    </row>
    <row r="97" spans="1:3" x14ac:dyDescent="0.25">
      <c r="A97">
        <v>11</v>
      </c>
      <c r="B97">
        <v>50</v>
      </c>
      <c r="C97">
        <v>42.589999999999996</v>
      </c>
    </row>
    <row r="98" spans="1:3" x14ac:dyDescent="0.25">
      <c r="A98">
        <v>50</v>
      </c>
      <c r="B98">
        <v>11</v>
      </c>
      <c r="C98">
        <v>42.589999999999996</v>
      </c>
    </row>
    <row r="99" spans="1:3" x14ac:dyDescent="0.25">
      <c r="A99">
        <v>47</v>
      </c>
      <c r="B99">
        <v>47</v>
      </c>
      <c r="C99">
        <v>41.82</v>
      </c>
    </row>
    <row r="100" spans="1:3" x14ac:dyDescent="0.25">
      <c r="A100">
        <v>28</v>
      </c>
      <c r="B100">
        <v>47</v>
      </c>
      <c r="C100">
        <v>41.78</v>
      </c>
    </row>
    <row r="101" spans="1:3" x14ac:dyDescent="0.25">
      <c r="A101">
        <v>47</v>
      </c>
      <c r="B101">
        <v>28</v>
      </c>
      <c r="C101">
        <v>41.78</v>
      </c>
    </row>
    <row r="102" spans="1:3" x14ac:dyDescent="0.25">
      <c r="A102">
        <v>2</v>
      </c>
      <c r="B102">
        <v>47</v>
      </c>
      <c r="C102">
        <v>41.709999999999994</v>
      </c>
    </row>
    <row r="103" spans="1:3" x14ac:dyDescent="0.25">
      <c r="A103">
        <v>47</v>
      </c>
      <c r="B103">
        <v>2</v>
      </c>
      <c r="C103">
        <v>41.709999999999994</v>
      </c>
    </row>
    <row r="104" spans="1:3" x14ac:dyDescent="0.25">
      <c r="A104">
        <v>3</v>
      </c>
      <c r="B104">
        <v>47</v>
      </c>
      <c r="C104">
        <v>41.459999999999994</v>
      </c>
    </row>
    <row r="105" spans="1:3" x14ac:dyDescent="0.25">
      <c r="A105">
        <v>47</v>
      </c>
      <c r="B105">
        <v>3</v>
      </c>
      <c r="C105">
        <v>41.459999999999994</v>
      </c>
    </row>
    <row r="106" spans="1:3" x14ac:dyDescent="0.25">
      <c r="A106">
        <v>47</v>
      </c>
      <c r="B106">
        <v>50</v>
      </c>
      <c r="C106">
        <v>40.83</v>
      </c>
    </row>
    <row r="107" spans="1:3" x14ac:dyDescent="0.25">
      <c r="A107">
        <v>50</v>
      </c>
      <c r="B107">
        <v>47</v>
      </c>
      <c r="C107">
        <v>40.83</v>
      </c>
    </row>
    <row r="108" spans="1:3" x14ac:dyDescent="0.25">
      <c r="A108">
        <v>4</v>
      </c>
      <c r="B108">
        <v>5</v>
      </c>
      <c r="C108">
        <v>40.559999999999995</v>
      </c>
    </row>
    <row r="109" spans="1:3" x14ac:dyDescent="0.25">
      <c r="A109">
        <v>5</v>
      </c>
      <c r="B109">
        <v>4</v>
      </c>
      <c r="C109">
        <v>40.559999999999995</v>
      </c>
    </row>
    <row r="110" spans="1:3" x14ac:dyDescent="0.25">
      <c r="A110">
        <v>12</v>
      </c>
      <c r="B110">
        <v>47</v>
      </c>
      <c r="C110">
        <v>40.340000000000003</v>
      </c>
    </row>
    <row r="111" spans="1:3" x14ac:dyDescent="0.25">
      <c r="A111">
        <v>47</v>
      </c>
      <c r="B111">
        <v>12</v>
      </c>
      <c r="C111">
        <v>40.340000000000003</v>
      </c>
    </row>
    <row r="112" spans="1:3" x14ac:dyDescent="0.25">
      <c r="A112">
        <v>4</v>
      </c>
      <c r="B112">
        <v>6</v>
      </c>
      <c r="C112">
        <v>39.350000000000009</v>
      </c>
    </row>
    <row r="113" spans="1:3" x14ac:dyDescent="0.25">
      <c r="A113">
        <v>6</v>
      </c>
      <c r="B113">
        <v>4</v>
      </c>
      <c r="C113">
        <v>39.350000000000009</v>
      </c>
    </row>
    <row r="114" spans="1:3" x14ac:dyDescent="0.25">
      <c r="A114">
        <v>4</v>
      </c>
      <c r="B114">
        <v>47</v>
      </c>
      <c r="C114">
        <v>39.239999999999995</v>
      </c>
    </row>
    <row r="115" spans="1:3" x14ac:dyDescent="0.25">
      <c r="A115">
        <v>47</v>
      </c>
      <c r="B115">
        <v>4</v>
      </c>
      <c r="C115">
        <v>39.239999999999995</v>
      </c>
    </row>
    <row r="116" spans="1:3" x14ac:dyDescent="0.25">
      <c r="A116">
        <v>5</v>
      </c>
      <c r="B116">
        <v>28</v>
      </c>
      <c r="C116">
        <v>37.39</v>
      </c>
    </row>
    <row r="117" spans="1:3" x14ac:dyDescent="0.25">
      <c r="A117">
        <v>28</v>
      </c>
      <c r="B117">
        <v>5</v>
      </c>
      <c r="C117">
        <v>37.39</v>
      </c>
    </row>
    <row r="118" spans="1:3" x14ac:dyDescent="0.25">
      <c r="A118">
        <v>5</v>
      </c>
      <c r="B118">
        <v>50</v>
      </c>
      <c r="C118">
        <v>35.700000000000003</v>
      </c>
    </row>
    <row r="119" spans="1:3" x14ac:dyDescent="0.25">
      <c r="A119">
        <v>50</v>
      </c>
      <c r="B119">
        <v>5</v>
      </c>
      <c r="C119">
        <v>35.700000000000003</v>
      </c>
    </row>
    <row r="120" spans="1:3" x14ac:dyDescent="0.25">
      <c r="A120">
        <v>11</v>
      </c>
      <c r="B120">
        <v>47</v>
      </c>
      <c r="C120">
        <v>32.39</v>
      </c>
    </row>
    <row r="121" spans="1:3" x14ac:dyDescent="0.25">
      <c r="A121">
        <v>47</v>
      </c>
      <c r="B121">
        <v>11</v>
      </c>
      <c r="C121">
        <v>32.39</v>
      </c>
    </row>
    <row r="122" spans="1:3" x14ac:dyDescent="0.25">
      <c r="A122">
        <v>7</v>
      </c>
      <c r="B122">
        <v>14</v>
      </c>
      <c r="C122">
        <v>32.139999999999993</v>
      </c>
    </row>
    <row r="123" spans="1:3" x14ac:dyDescent="0.25">
      <c r="A123">
        <v>14</v>
      </c>
      <c r="B123">
        <v>7</v>
      </c>
      <c r="C123">
        <v>32.139999999999993</v>
      </c>
    </row>
    <row r="124" spans="1:3" x14ac:dyDescent="0.25">
      <c r="A124">
        <v>8</v>
      </c>
      <c r="B124">
        <v>12</v>
      </c>
      <c r="C124">
        <v>30.440000000000012</v>
      </c>
    </row>
    <row r="125" spans="1:3" x14ac:dyDescent="0.25">
      <c r="A125">
        <v>12</v>
      </c>
      <c r="B125">
        <v>8</v>
      </c>
      <c r="C125">
        <v>30.440000000000012</v>
      </c>
    </row>
    <row r="126" spans="1:3" x14ac:dyDescent="0.25">
      <c r="A126">
        <v>29</v>
      </c>
      <c r="B126">
        <v>29</v>
      </c>
      <c r="C126">
        <v>29.56</v>
      </c>
    </row>
    <row r="127" spans="1:3" x14ac:dyDescent="0.25">
      <c r="A127">
        <v>3</v>
      </c>
      <c r="B127">
        <v>8</v>
      </c>
      <c r="C127">
        <v>29.080000000000013</v>
      </c>
    </row>
    <row r="128" spans="1:3" x14ac:dyDescent="0.25">
      <c r="A128">
        <v>8</v>
      </c>
      <c r="B128">
        <v>3</v>
      </c>
      <c r="C128">
        <v>29.080000000000013</v>
      </c>
    </row>
    <row r="129" spans="1:3" x14ac:dyDescent="0.25">
      <c r="A129">
        <v>5</v>
      </c>
      <c r="B129">
        <v>47</v>
      </c>
      <c r="C129">
        <v>26.87</v>
      </c>
    </row>
    <row r="130" spans="1:3" x14ac:dyDescent="0.25">
      <c r="A130">
        <v>47</v>
      </c>
      <c r="B130">
        <v>5</v>
      </c>
      <c r="C130">
        <v>26.87</v>
      </c>
    </row>
    <row r="131" spans="1:3" x14ac:dyDescent="0.25">
      <c r="A131">
        <v>7</v>
      </c>
      <c r="B131">
        <v>28</v>
      </c>
      <c r="C131">
        <v>25.470000000000002</v>
      </c>
    </row>
    <row r="132" spans="1:3" x14ac:dyDescent="0.25">
      <c r="A132">
        <v>28</v>
      </c>
      <c r="B132">
        <v>7</v>
      </c>
      <c r="C132">
        <v>25.470000000000002</v>
      </c>
    </row>
    <row r="133" spans="1:3" x14ac:dyDescent="0.25">
      <c r="A133">
        <v>4</v>
      </c>
      <c r="B133">
        <v>7</v>
      </c>
      <c r="C133">
        <v>25.209999999999994</v>
      </c>
    </row>
    <row r="134" spans="1:3" x14ac:dyDescent="0.25">
      <c r="A134">
        <v>7</v>
      </c>
      <c r="B134">
        <v>4</v>
      </c>
      <c r="C134">
        <v>25.209999999999994</v>
      </c>
    </row>
    <row r="135" spans="1:3" x14ac:dyDescent="0.25">
      <c r="A135">
        <v>7</v>
      </c>
      <c r="B135">
        <v>50</v>
      </c>
      <c r="C135">
        <v>24.979999999999997</v>
      </c>
    </row>
    <row r="136" spans="1:3" x14ac:dyDescent="0.25">
      <c r="A136">
        <v>50</v>
      </c>
      <c r="B136">
        <v>7</v>
      </c>
      <c r="C136">
        <v>24.979999999999997</v>
      </c>
    </row>
    <row r="137" spans="1:3" x14ac:dyDescent="0.25">
      <c r="A137">
        <v>4</v>
      </c>
      <c r="B137">
        <v>29</v>
      </c>
      <c r="C137">
        <v>24.239999999999995</v>
      </c>
    </row>
    <row r="138" spans="1:3" x14ac:dyDescent="0.25">
      <c r="A138">
        <v>29</v>
      </c>
      <c r="B138">
        <v>4</v>
      </c>
      <c r="C138">
        <v>24.239999999999995</v>
      </c>
    </row>
    <row r="139" spans="1:3" x14ac:dyDescent="0.25">
      <c r="A139">
        <v>10</v>
      </c>
      <c r="B139">
        <v>12</v>
      </c>
      <c r="C139">
        <v>23.769999999999996</v>
      </c>
    </row>
    <row r="140" spans="1:3" x14ac:dyDescent="0.25">
      <c r="A140">
        <v>12</v>
      </c>
      <c r="B140">
        <v>10</v>
      </c>
      <c r="C140">
        <v>23.769999999999996</v>
      </c>
    </row>
    <row r="141" spans="1:3" x14ac:dyDescent="0.25">
      <c r="A141">
        <v>6</v>
      </c>
      <c r="B141">
        <v>29</v>
      </c>
      <c r="C141">
        <v>21.320000000000007</v>
      </c>
    </row>
    <row r="142" spans="1:3" x14ac:dyDescent="0.25">
      <c r="A142">
        <v>29</v>
      </c>
      <c r="B142">
        <v>6</v>
      </c>
      <c r="C142">
        <v>21.320000000000007</v>
      </c>
    </row>
    <row r="143" spans="1:3" x14ac:dyDescent="0.25">
      <c r="A143">
        <v>3</v>
      </c>
      <c r="B143">
        <v>10</v>
      </c>
      <c r="C143">
        <v>21.280000000000015</v>
      </c>
    </row>
    <row r="144" spans="1:3" x14ac:dyDescent="0.25">
      <c r="A144">
        <v>10</v>
      </c>
      <c r="B144">
        <v>3</v>
      </c>
      <c r="C144">
        <v>21.280000000000015</v>
      </c>
    </row>
    <row r="145" spans="1:3" x14ac:dyDescent="0.25">
      <c r="A145">
        <v>7</v>
      </c>
      <c r="B145">
        <v>47</v>
      </c>
      <c r="C145">
        <v>17.91</v>
      </c>
    </row>
    <row r="146" spans="1:3" x14ac:dyDescent="0.25">
      <c r="A146">
        <v>47</v>
      </c>
      <c r="B146">
        <v>7</v>
      </c>
      <c r="C146">
        <v>17.91</v>
      </c>
    </row>
    <row r="147" spans="1:3" x14ac:dyDescent="0.25">
      <c r="A147">
        <v>2</v>
      </c>
      <c r="B147">
        <v>8</v>
      </c>
      <c r="C147">
        <v>16.95000000000001</v>
      </c>
    </row>
    <row r="148" spans="1:3" x14ac:dyDescent="0.25">
      <c r="A148">
        <v>8</v>
      </c>
      <c r="B148">
        <v>2</v>
      </c>
      <c r="C148">
        <v>16.95000000000001</v>
      </c>
    </row>
    <row r="149" spans="1:3" x14ac:dyDescent="0.25">
      <c r="A149">
        <v>2</v>
      </c>
      <c r="B149">
        <v>29</v>
      </c>
      <c r="C149">
        <v>16.47</v>
      </c>
    </row>
    <row r="150" spans="1:3" x14ac:dyDescent="0.25">
      <c r="A150">
        <v>29</v>
      </c>
      <c r="B150">
        <v>2</v>
      </c>
      <c r="C150">
        <v>16.47</v>
      </c>
    </row>
    <row r="151" spans="1:3" x14ac:dyDescent="0.25">
      <c r="A151">
        <v>3</v>
      </c>
      <c r="B151">
        <v>29</v>
      </c>
      <c r="C151">
        <v>16.079999999999998</v>
      </c>
    </row>
    <row r="152" spans="1:3" x14ac:dyDescent="0.25">
      <c r="A152">
        <v>29</v>
      </c>
      <c r="B152">
        <v>3</v>
      </c>
      <c r="C152">
        <v>16.079999999999998</v>
      </c>
    </row>
    <row r="153" spans="1:3" x14ac:dyDescent="0.25">
      <c r="A153">
        <v>28</v>
      </c>
      <c r="B153">
        <v>29</v>
      </c>
      <c r="C153">
        <v>15.37</v>
      </c>
    </row>
    <row r="154" spans="1:3" x14ac:dyDescent="0.25">
      <c r="A154">
        <v>29</v>
      </c>
      <c r="B154">
        <v>28</v>
      </c>
      <c r="C154">
        <v>15.37</v>
      </c>
    </row>
    <row r="155" spans="1:3" x14ac:dyDescent="0.25">
      <c r="A155">
        <v>40</v>
      </c>
      <c r="B155">
        <v>40</v>
      </c>
      <c r="C155">
        <v>14.82</v>
      </c>
    </row>
    <row r="156" spans="1:3" x14ac:dyDescent="0.25">
      <c r="A156">
        <v>12</v>
      </c>
      <c r="B156">
        <v>40</v>
      </c>
      <c r="C156">
        <v>14.819999999999997</v>
      </c>
    </row>
    <row r="157" spans="1:3" x14ac:dyDescent="0.25">
      <c r="A157">
        <v>40</v>
      </c>
      <c r="B157">
        <v>12</v>
      </c>
      <c r="C157">
        <v>14.819999999999997</v>
      </c>
    </row>
    <row r="158" spans="1:3" x14ac:dyDescent="0.25">
      <c r="A158">
        <v>3</v>
      </c>
      <c r="B158">
        <v>40</v>
      </c>
      <c r="C158">
        <v>14.729999999999993</v>
      </c>
    </row>
    <row r="159" spans="1:3" x14ac:dyDescent="0.25">
      <c r="A159">
        <v>40</v>
      </c>
      <c r="B159">
        <v>3</v>
      </c>
      <c r="C159">
        <v>14.729999999999993</v>
      </c>
    </row>
    <row r="160" spans="1:3" x14ac:dyDescent="0.25">
      <c r="A160">
        <v>40</v>
      </c>
      <c r="B160">
        <v>50</v>
      </c>
      <c r="C160">
        <v>14.669999999999998</v>
      </c>
    </row>
    <row r="161" spans="1:3" x14ac:dyDescent="0.25">
      <c r="A161">
        <v>50</v>
      </c>
      <c r="B161">
        <v>40</v>
      </c>
      <c r="C161">
        <v>14.669999999999998</v>
      </c>
    </row>
    <row r="162" spans="1:3" x14ac:dyDescent="0.25">
      <c r="A162">
        <v>2</v>
      </c>
      <c r="B162">
        <v>40</v>
      </c>
      <c r="C162">
        <v>14.599999999999998</v>
      </c>
    </row>
    <row r="163" spans="1:3" x14ac:dyDescent="0.25">
      <c r="A163">
        <v>40</v>
      </c>
      <c r="B163">
        <v>2</v>
      </c>
      <c r="C163">
        <v>14.599999999999998</v>
      </c>
    </row>
    <row r="164" spans="1:3" x14ac:dyDescent="0.25">
      <c r="A164">
        <v>28</v>
      </c>
      <c r="B164">
        <v>40</v>
      </c>
      <c r="C164">
        <v>14.46</v>
      </c>
    </row>
    <row r="165" spans="1:3" x14ac:dyDescent="0.25">
      <c r="A165">
        <v>40</v>
      </c>
      <c r="B165">
        <v>28</v>
      </c>
      <c r="C165">
        <v>14.46</v>
      </c>
    </row>
    <row r="166" spans="1:3" x14ac:dyDescent="0.25">
      <c r="A166">
        <v>40</v>
      </c>
      <c r="B166">
        <v>47</v>
      </c>
      <c r="C166">
        <v>14.280000000000001</v>
      </c>
    </row>
    <row r="167" spans="1:3" x14ac:dyDescent="0.25">
      <c r="A167">
        <v>47</v>
      </c>
      <c r="B167">
        <v>40</v>
      </c>
      <c r="C167">
        <v>14.280000000000001</v>
      </c>
    </row>
    <row r="168" spans="1:3" x14ac:dyDescent="0.25">
      <c r="A168">
        <v>29</v>
      </c>
      <c r="B168">
        <v>47</v>
      </c>
      <c r="C168">
        <v>14.26</v>
      </c>
    </row>
    <row r="169" spans="1:3" x14ac:dyDescent="0.25">
      <c r="A169">
        <v>47</v>
      </c>
      <c r="B169">
        <v>29</v>
      </c>
      <c r="C169">
        <v>14.26</v>
      </c>
    </row>
    <row r="170" spans="1:3" x14ac:dyDescent="0.25">
      <c r="A170">
        <v>5</v>
      </c>
      <c r="B170">
        <v>14</v>
      </c>
      <c r="C170">
        <v>13.700000000000003</v>
      </c>
    </row>
    <row r="171" spans="1:3" x14ac:dyDescent="0.25">
      <c r="A171">
        <v>14</v>
      </c>
      <c r="B171">
        <v>5</v>
      </c>
      <c r="C171">
        <v>13.700000000000003</v>
      </c>
    </row>
    <row r="172" spans="1:3" x14ac:dyDescent="0.25">
      <c r="A172">
        <v>2</v>
      </c>
      <c r="B172">
        <v>10</v>
      </c>
      <c r="C172">
        <v>13.660000000000004</v>
      </c>
    </row>
    <row r="173" spans="1:3" x14ac:dyDescent="0.25">
      <c r="A173">
        <v>10</v>
      </c>
      <c r="B173">
        <v>2</v>
      </c>
      <c r="C173">
        <v>13.660000000000004</v>
      </c>
    </row>
    <row r="174" spans="1:3" x14ac:dyDescent="0.25">
      <c r="A174">
        <v>11</v>
      </c>
      <c r="B174">
        <v>40</v>
      </c>
      <c r="C174">
        <v>13.649999999999995</v>
      </c>
    </row>
    <row r="175" spans="1:3" x14ac:dyDescent="0.25">
      <c r="A175">
        <v>40</v>
      </c>
      <c r="B175">
        <v>11</v>
      </c>
      <c r="C175">
        <v>13.649999999999995</v>
      </c>
    </row>
    <row r="176" spans="1:3" x14ac:dyDescent="0.25">
      <c r="A176">
        <v>6</v>
      </c>
      <c r="B176">
        <v>7</v>
      </c>
      <c r="C176">
        <v>13.539999999999992</v>
      </c>
    </row>
    <row r="177" spans="1:3" x14ac:dyDescent="0.25">
      <c r="A177">
        <v>7</v>
      </c>
      <c r="B177">
        <v>6</v>
      </c>
      <c r="C177">
        <v>13.539999999999992</v>
      </c>
    </row>
    <row r="178" spans="1:3" x14ac:dyDescent="0.25">
      <c r="A178">
        <v>12</v>
      </c>
      <c r="B178">
        <v>29</v>
      </c>
      <c r="C178">
        <v>13.329999999999997</v>
      </c>
    </row>
    <row r="179" spans="1:3" x14ac:dyDescent="0.25">
      <c r="A179">
        <v>29</v>
      </c>
      <c r="B179">
        <v>12</v>
      </c>
      <c r="C179">
        <v>13.329999999999997</v>
      </c>
    </row>
    <row r="180" spans="1:3" x14ac:dyDescent="0.25">
      <c r="A180">
        <v>29</v>
      </c>
      <c r="B180">
        <v>50</v>
      </c>
      <c r="C180">
        <v>13.289999999999997</v>
      </c>
    </row>
    <row r="181" spans="1:3" x14ac:dyDescent="0.25">
      <c r="A181">
        <v>50</v>
      </c>
      <c r="B181">
        <v>29</v>
      </c>
      <c r="C181">
        <v>13.289999999999997</v>
      </c>
    </row>
    <row r="182" spans="1:3" x14ac:dyDescent="0.25">
      <c r="A182">
        <v>4</v>
      </c>
      <c r="B182">
        <v>40</v>
      </c>
      <c r="C182">
        <v>12.66</v>
      </c>
    </row>
    <row r="183" spans="1:3" x14ac:dyDescent="0.25">
      <c r="A183">
        <v>40</v>
      </c>
      <c r="B183">
        <v>4</v>
      </c>
      <c r="C183">
        <v>12.66</v>
      </c>
    </row>
    <row r="184" spans="1:3" x14ac:dyDescent="0.25">
      <c r="A184">
        <v>3</v>
      </c>
      <c r="B184">
        <v>6</v>
      </c>
      <c r="C184">
        <v>12.61</v>
      </c>
    </row>
    <row r="185" spans="1:3" x14ac:dyDescent="0.25">
      <c r="A185">
        <v>6</v>
      </c>
      <c r="B185">
        <v>3</v>
      </c>
      <c r="C185">
        <v>12.61</v>
      </c>
    </row>
    <row r="186" spans="1:3" x14ac:dyDescent="0.25">
      <c r="A186">
        <v>33</v>
      </c>
      <c r="B186">
        <v>33</v>
      </c>
      <c r="C186">
        <v>12.58</v>
      </c>
    </row>
    <row r="187" spans="1:3" x14ac:dyDescent="0.25">
      <c r="A187">
        <v>14</v>
      </c>
      <c r="B187">
        <v>33</v>
      </c>
      <c r="C187">
        <v>12.569999999999993</v>
      </c>
    </row>
    <row r="188" spans="1:3" x14ac:dyDescent="0.25">
      <c r="A188">
        <v>33</v>
      </c>
      <c r="B188">
        <v>14</v>
      </c>
      <c r="C188">
        <v>12.569999999999993</v>
      </c>
    </row>
    <row r="189" spans="1:3" x14ac:dyDescent="0.25">
      <c r="A189">
        <v>5</v>
      </c>
      <c r="B189">
        <v>40</v>
      </c>
      <c r="C189">
        <v>12.400000000000002</v>
      </c>
    </row>
    <row r="190" spans="1:3" x14ac:dyDescent="0.25">
      <c r="A190">
        <v>40</v>
      </c>
      <c r="B190">
        <v>5</v>
      </c>
      <c r="C190">
        <v>12.400000000000002</v>
      </c>
    </row>
    <row r="191" spans="1:3" x14ac:dyDescent="0.25">
      <c r="A191">
        <v>37</v>
      </c>
      <c r="B191">
        <v>37</v>
      </c>
      <c r="C191">
        <v>11.48</v>
      </c>
    </row>
    <row r="192" spans="1:3" x14ac:dyDescent="0.25">
      <c r="A192">
        <v>7</v>
      </c>
      <c r="B192">
        <v>37</v>
      </c>
      <c r="C192">
        <v>11.360000000000005</v>
      </c>
    </row>
    <row r="193" spans="1:3" x14ac:dyDescent="0.25">
      <c r="A193">
        <v>37</v>
      </c>
      <c r="B193">
        <v>7</v>
      </c>
      <c r="C193">
        <v>11.360000000000005</v>
      </c>
    </row>
    <row r="194" spans="1:3" x14ac:dyDescent="0.25">
      <c r="A194">
        <v>43</v>
      </c>
      <c r="B194">
        <v>43</v>
      </c>
      <c r="C194">
        <v>11.34</v>
      </c>
    </row>
    <row r="195" spans="1:3" x14ac:dyDescent="0.25">
      <c r="A195">
        <v>29</v>
      </c>
      <c r="B195">
        <v>43</v>
      </c>
      <c r="C195">
        <v>11.319999999999999</v>
      </c>
    </row>
    <row r="196" spans="1:3" x14ac:dyDescent="0.25">
      <c r="A196">
        <v>43</v>
      </c>
      <c r="B196">
        <v>29</v>
      </c>
      <c r="C196">
        <v>11.319999999999999</v>
      </c>
    </row>
    <row r="197" spans="1:3" x14ac:dyDescent="0.25">
      <c r="A197">
        <v>2</v>
      </c>
      <c r="B197">
        <v>6</v>
      </c>
      <c r="C197">
        <v>11.060000000000009</v>
      </c>
    </row>
    <row r="198" spans="1:3" x14ac:dyDescent="0.25">
      <c r="A198">
        <v>6</v>
      </c>
      <c r="B198">
        <v>2</v>
      </c>
      <c r="C198">
        <v>11.060000000000009</v>
      </c>
    </row>
    <row r="199" spans="1:3" x14ac:dyDescent="0.25">
      <c r="A199">
        <v>8</v>
      </c>
      <c r="B199">
        <v>37</v>
      </c>
      <c r="C199">
        <v>10.729999999999995</v>
      </c>
    </row>
    <row r="200" spans="1:3" x14ac:dyDescent="0.25">
      <c r="A200">
        <v>37</v>
      </c>
      <c r="B200">
        <v>8</v>
      </c>
      <c r="C200">
        <v>10.729999999999995</v>
      </c>
    </row>
    <row r="201" spans="1:3" x14ac:dyDescent="0.25">
      <c r="A201">
        <v>10</v>
      </c>
      <c r="B201">
        <v>37</v>
      </c>
      <c r="C201">
        <v>10.709999999999999</v>
      </c>
    </row>
    <row r="202" spans="1:3" x14ac:dyDescent="0.25">
      <c r="A202">
        <v>37</v>
      </c>
      <c r="B202">
        <v>10</v>
      </c>
      <c r="C202">
        <v>10.709999999999999</v>
      </c>
    </row>
    <row r="203" spans="1:3" x14ac:dyDescent="0.25">
      <c r="A203">
        <v>6</v>
      </c>
      <c r="B203">
        <v>33</v>
      </c>
      <c r="C203">
        <v>10.670000000000009</v>
      </c>
    </row>
    <row r="204" spans="1:3" x14ac:dyDescent="0.25">
      <c r="A204">
        <v>33</v>
      </c>
      <c r="B204">
        <v>6</v>
      </c>
      <c r="C204">
        <v>10.670000000000009</v>
      </c>
    </row>
    <row r="205" spans="1:3" x14ac:dyDescent="0.25">
      <c r="A205">
        <v>13</v>
      </c>
      <c r="B205">
        <v>13</v>
      </c>
      <c r="C205">
        <v>10.36</v>
      </c>
    </row>
    <row r="206" spans="1:3" x14ac:dyDescent="0.25">
      <c r="A206">
        <v>12</v>
      </c>
      <c r="B206">
        <v>13</v>
      </c>
      <c r="C206">
        <v>10.309999999999995</v>
      </c>
    </row>
    <row r="207" spans="1:3" x14ac:dyDescent="0.25">
      <c r="A207">
        <v>13</v>
      </c>
      <c r="B207">
        <v>12</v>
      </c>
      <c r="C207">
        <v>10.309999999999995</v>
      </c>
    </row>
    <row r="208" spans="1:3" x14ac:dyDescent="0.25">
      <c r="A208">
        <v>13</v>
      </c>
      <c r="B208">
        <v>40</v>
      </c>
      <c r="C208">
        <v>10.199999999999999</v>
      </c>
    </row>
    <row r="209" spans="1:3" x14ac:dyDescent="0.25">
      <c r="A209">
        <v>40</v>
      </c>
      <c r="B209">
        <v>13</v>
      </c>
      <c r="C209">
        <v>10.199999999999999</v>
      </c>
    </row>
    <row r="210" spans="1:3" x14ac:dyDescent="0.25">
      <c r="A210">
        <v>3</v>
      </c>
      <c r="B210">
        <v>13</v>
      </c>
      <c r="C210">
        <v>10.139999999999993</v>
      </c>
    </row>
    <row r="211" spans="1:3" x14ac:dyDescent="0.25">
      <c r="A211">
        <v>13</v>
      </c>
      <c r="B211">
        <v>3</v>
      </c>
      <c r="C211">
        <v>10.139999999999993</v>
      </c>
    </row>
    <row r="212" spans="1:3" x14ac:dyDescent="0.25">
      <c r="A212">
        <v>8</v>
      </c>
      <c r="B212">
        <v>50</v>
      </c>
      <c r="C212">
        <v>10.07</v>
      </c>
    </row>
    <row r="213" spans="1:3" x14ac:dyDescent="0.25">
      <c r="A213">
        <v>50</v>
      </c>
      <c r="B213">
        <v>8</v>
      </c>
      <c r="C213">
        <v>10.07</v>
      </c>
    </row>
    <row r="214" spans="1:3" x14ac:dyDescent="0.25">
      <c r="A214">
        <v>8</v>
      </c>
      <c r="B214">
        <v>33</v>
      </c>
      <c r="C214">
        <v>10.059999999999995</v>
      </c>
    </row>
    <row r="215" spans="1:3" x14ac:dyDescent="0.25">
      <c r="A215">
        <v>33</v>
      </c>
      <c r="B215">
        <v>8</v>
      </c>
      <c r="C215">
        <v>10.059999999999995</v>
      </c>
    </row>
    <row r="216" spans="1:3" x14ac:dyDescent="0.25">
      <c r="A216">
        <v>13</v>
      </c>
      <c r="B216">
        <v>50</v>
      </c>
      <c r="C216">
        <v>10.049999999999997</v>
      </c>
    </row>
    <row r="217" spans="1:3" x14ac:dyDescent="0.25">
      <c r="A217">
        <v>50</v>
      </c>
      <c r="B217">
        <v>13</v>
      </c>
      <c r="C217">
        <v>10.049999999999997</v>
      </c>
    </row>
    <row r="218" spans="1:3" x14ac:dyDescent="0.25">
      <c r="A218">
        <v>5</v>
      </c>
      <c r="B218">
        <v>37</v>
      </c>
      <c r="C218">
        <v>10.029999999999999</v>
      </c>
    </row>
    <row r="219" spans="1:3" x14ac:dyDescent="0.25">
      <c r="A219">
        <v>37</v>
      </c>
      <c r="B219">
        <v>5</v>
      </c>
      <c r="C219">
        <v>10.029999999999999</v>
      </c>
    </row>
    <row r="220" spans="1:3" x14ac:dyDescent="0.25">
      <c r="A220">
        <v>2</v>
      </c>
      <c r="B220">
        <v>13</v>
      </c>
      <c r="C220">
        <v>9.9799999999999969</v>
      </c>
    </row>
    <row r="221" spans="1:3" x14ac:dyDescent="0.25">
      <c r="A221">
        <v>13</v>
      </c>
      <c r="B221">
        <v>2</v>
      </c>
      <c r="C221">
        <v>9.9799999999999969</v>
      </c>
    </row>
    <row r="222" spans="1:3" x14ac:dyDescent="0.25">
      <c r="A222">
        <v>10</v>
      </c>
      <c r="B222">
        <v>33</v>
      </c>
      <c r="C222">
        <v>9.970000000000006</v>
      </c>
    </row>
    <row r="223" spans="1:3" x14ac:dyDescent="0.25">
      <c r="A223">
        <v>33</v>
      </c>
      <c r="B223">
        <v>10</v>
      </c>
      <c r="C223">
        <v>9.970000000000006</v>
      </c>
    </row>
    <row r="224" spans="1:3" x14ac:dyDescent="0.25">
      <c r="A224">
        <v>16</v>
      </c>
      <c r="B224">
        <v>16</v>
      </c>
      <c r="C224">
        <v>9.9600000000000009</v>
      </c>
    </row>
    <row r="225" spans="1:3" x14ac:dyDescent="0.25">
      <c r="A225">
        <v>11</v>
      </c>
      <c r="B225">
        <v>13</v>
      </c>
      <c r="C225">
        <v>9.9199999999999946</v>
      </c>
    </row>
    <row r="226" spans="1:3" x14ac:dyDescent="0.25">
      <c r="A226">
        <v>13</v>
      </c>
      <c r="B226">
        <v>11</v>
      </c>
      <c r="C226">
        <v>9.9199999999999946</v>
      </c>
    </row>
    <row r="227" spans="1:3" x14ac:dyDescent="0.25">
      <c r="A227">
        <v>13</v>
      </c>
      <c r="B227">
        <v>28</v>
      </c>
      <c r="C227">
        <v>9.84</v>
      </c>
    </row>
    <row r="228" spans="1:3" x14ac:dyDescent="0.25">
      <c r="A228">
        <v>28</v>
      </c>
      <c r="B228">
        <v>13</v>
      </c>
      <c r="C228">
        <v>9.84</v>
      </c>
    </row>
    <row r="229" spans="1:3" x14ac:dyDescent="0.25">
      <c r="A229">
        <v>13</v>
      </c>
      <c r="B229">
        <v>47</v>
      </c>
      <c r="C229">
        <v>9.68</v>
      </c>
    </row>
    <row r="230" spans="1:3" x14ac:dyDescent="0.25">
      <c r="A230">
        <v>47</v>
      </c>
      <c r="B230">
        <v>13</v>
      </c>
      <c r="C230">
        <v>9.68</v>
      </c>
    </row>
    <row r="231" spans="1:3" x14ac:dyDescent="0.25">
      <c r="A231">
        <v>14</v>
      </c>
      <c r="B231">
        <v>16</v>
      </c>
      <c r="C231">
        <v>9.4899999999999984</v>
      </c>
    </row>
    <row r="232" spans="1:3" x14ac:dyDescent="0.25">
      <c r="A232">
        <v>16</v>
      </c>
      <c r="B232">
        <v>14</v>
      </c>
      <c r="C232">
        <v>9.4899999999999984</v>
      </c>
    </row>
    <row r="233" spans="1:3" x14ac:dyDescent="0.25">
      <c r="A233">
        <v>8</v>
      </c>
      <c r="B233">
        <v>16</v>
      </c>
      <c r="C233">
        <v>9.4600000000000044</v>
      </c>
    </row>
    <row r="234" spans="1:3" x14ac:dyDescent="0.25">
      <c r="A234">
        <v>16</v>
      </c>
      <c r="B234">
        <v>8</v>
      </c>
      <c r="C234">
        <v>9.4600000000000044</v>
      </c>
    </row>
    <row r="235" spans="1:3" x14ac:dyDescent="0.25">
      <c r="A235">
        <v>10</v>
      </c>
      <c r="B235">
        <v>16</v>
      </c>
      <c r="C235">
        <v>9.4499999999999993</v>
      </c>
    </row>
    <row r="236" spans="1:3" x14ac:dyDescent="0.25">
      <c r="A236">
        <v>16</v>
      </c>
      <c r="B236">
        <v>10</v>
      </c>
      <c r="C236">
        <v>9.4499999999999993</v>
      </c>
    </row>
    <row r="237" spans="1:3" x14ac:dyDescent="0.25">
      <c r="A237">
        <v>8</v>
      </c>
      <c r="B237">
        <v>28</v>
      </c>
      <c r="C237">
        <v>9.3200000000000109</v>
      </c>
    </row>
    <row r="238" spans="1:3" x14ac:dyDescent="0.25">
      <c r="A238">
        <v>28</v>
      </c>
      <c r="B238">
        <v>8</v>
      </c>
      <c r="C238">
        <v>9.3200000000000109</v>
      </c>
    </row>
    <row r="239" spans="1:3" x14ac:dyDescent="0.25">
      <c r="A239">
        <v>5</v>
      </c>
      <c r="B239">
        <v>13</v>
      </c>
      <c r="C239">
        <v>9.240000000000002</v>
      </c>
    </row>
    <row r="240" spans="1:3" x14ac:dyDescent="0.25">
      <c r="A240">
        <v>13</v>
      </c>
      <c r="B240">
        <v>5</v>
      </c>
      <c r="C240">
        <v>9.240000000000002</v>
      </c>
    </row>
    <row r="241" spans="1:3" x14ac:dyDescent="0.25">
      <c r="A241">
        <v>7</v>
      </c>
      <c r="B241">
        <v>40</v>
      </c>
      <c r="C241">
        <v>9.2399999999999984</v>
      </c>
    </row>
    <row r="242" spans="1:3" x14ac:dyDescent="0.25">
      <c r="A242">
        <v>40</v>
      </c>
      <c r="B242">
        <v>7</v>
      </c>
      <c r="C242">
        <v>9.2399999999999984</v>
      </c>
    </row>
    <row r="243" spans="1:3" x14ac:dyDescent="0.25">
      <c r="A243">
        <v>4</v>
      </c>
      <c r="B243">
        <v>43</v>
      </c>
      <c r="C243">
        <v>9.17</v>
      </c>
    </row>
    <row r="244" spans="1:3" x14ac:dyDescent="0.25">
      <c r="A244">
        <v>43</v>
      </c>
      <c r="B244">
        <v>4</v>
      </c>
      <c r="C244">
        <v>9.17</v>
      </c>
    </row>
    <row r="245" spans="1:3" x14ac:dyDescent="0.25">
      <c r="A245">
        <v>35</v>
      </c>
      <c r="B245">
        <v>35</v>
      </c>
      <c r="C245">
        <v>9.08</v>
      </c>
    </row>
    <row r="246" spans="1:3" x14ac:dyDescent="0.25">
      <c r="A246">
        <v>11</v>
      </c>
      <c r="B246">
        <v>14</v>
      </c>
      <c r="C246">
        <v>9.0799999999999912</v>
      </c>
    </row>
    <row r="247" spans="1:3" x14ac:dyDescent="0.25">
      <c r="A247">
        <v>14</v>
      </c>
      <c r="B247">
        <v>11</v>
      </c>
      <c r="C247">
        <v>9.0799999999999912</v>
      </c>
    </row>
    <row r="248" spans="1:3" x14ac:dyDescent="0.25">
      <c r="A248">
        <v>10</v>
      </c>
      <c r="B248">
        <v>50</v>
      </c>
      <c r="C248">
        <v>9.0200000000000031</v>
      </c>
    </row>
    <row r="249" spans="1:3" x14ac:dyDescent="0.25">
      <c r="A249">
        <v>50</v>
      </c>
      <c r="B249">
        <v>10</v>
      </c>
      <c r="C249">
        <v>9.0200000000000031</v>
      </c>
    </row>
    <row r="250" spans="1:3" x14ac:dyDescent="0.25">
      <c r="A250">
        <v>11</v>
      </c>
      <c r="B250">
        <v>37</v>
      </c>
      <c r="C250">
        <v>8.99</v>
      </c>
    </row>
    <row r="251" spans="1:3" x14ac:dyDescent="0.25">
      <c r="A251">
        <v>37</v>
      </c>
      <c r="B251">
        <v>11</v>
      </c>
      <c r="C251">
        <v>8.99</v>
      </c>
    </row>
    <row r="252" spans="1:3" x14ac:dyDescent="0.25">
      <c r="A252">
        <v>31</v>
      </c>
      <c r="B252">
        <v>31</v>
      </c>
      <c r="C252">
        <v>8.8000000000000007</v>
      </c>
    </row>
    <row r="253" spans="1:3" x14ac:dyDescent="0.25">
      <c r="A253">
        <v>4</v>
      </c>
      <c r="B253">
        <v>31</v>
      </c>
      <c r="C253">
        <v>8.7999999999999918</v>
      </c>
    </row>
    <row r="254" spans="1:3" x14ac:dyDescent="0.25">
      <c r="A254">
        <v>31</v>
      </c>
      <c r="B254">
        <v>4</v>
      </c>
      <c r="C254">
        <v>8.7999999999999918</v>
      </c>
    </row>
    <row r="255" spans="1:3" x14ac:dyDescent="0.25">
      <c r="A255">
        <v>6</v>
      </c>
      <c r="B255">
        <v>43</v>
      </c>
      <c r="C255">
        <v>8.7200000000000113</v>
      </c>
    </row>
    <row r="256" spans="1:3" x14ac:dyDescent="0.25">
      <c r="A256">
        <v>43</v>
      </c>
      <c r="B256">
        <v>6</v>
      </c>
      <c r="C256">
        <v>8.7200000000000113</v>
      </c>
    </row>
    <row r="257" spans="1:3" x14ac:dyDescent="0.25">
      <c r="A257">
        <v>29</v>
      </c>
      <c r="B257">
        <v>35</v>
      </c>
      <c r="C257">
        <v>8.5500000000000007</v>
      </c>
    </row>
    <row r="258" spans="1:3" x14ac:dyDescent="0.25">
      <c r="A258">
        <v>35</v>
      </c>
      <c r="B258">
        <v>29</v>
      </c>
      <c r="C258">
        <v>8.5500000000000007</v>
      </c>
    </row>
    <row r="259" spans="1:3" x14ac:dyDescent="0.25">
      <c r="A259">
        <v>49</v>
      </c>
      <c r="B259">
        <v>49</v>
      </c>
      <c r="C259">
        <v>8.42</v>
      </c>
    </row>
    <row r="260" spans="1:3" x14ac:dyDescent="0.25">
      <c r="A260">
        <v>7</v>
      </c>
      <c r="B260">
        <v>49</v>
      </c>
      <c r="C260">
        <v>8.4100000000000037</v>
      </c>
    </row>
    <row r="261" spans="1:3" x14ac:dyDescent="0.25">
      <c r="A261">
        <v>49</v>
      </c>
      <c r="B261">
        <v>7</v>
      </c>
      <c r="C261">
        <v>8.4100000000000037</v>
      </c>
    </row>
    <row r="262" spans="1:3" x14ac:dyDescent="0.25">
      <c r="A262">
        <v>16</v>
      </c>
      <c r="B262">
        <v>33</v>
      </c>
      <c r="C262">
        <v>8.370000000000001</v>
      </c>
    </row>
    <row r="263" spans="1:3" x14ac:dyDescent="0.25">
      <c r="A263">
        <v>33</v>
      </c>
      <c r="B263">
        <v>16</v>
      </c>
      <c r="C263">
        <v>8.370000000000001</v>
      </c>
    </row>
    <row r="264" spans="1:3" x14ac:dyDescent="0.25">
      <c r="A264">
        <v>4</v>
      </c>
      <c r="B264">
        <v>13</v>
      </c>
      <c r="C264">
        <v>8.3299999999999912</v>
      </c>
    </row>
    <row r="265" spans="1:3" x14ac:dyDescent="0.25">
      <c r="A265">
        <v>13</v>
      </c>
      <c r="B265">
        <v>4</v>
      </c>
      <c r="C265">
        <v>8.3299999999999912</v>
      </c>
    </row>
    <row r="266" spans="1:3" x14ac:dyDescent="0.25">
      <c r="A266">
        <v>31</v>
      </c>
      <c r="B266">
        <v>47</v>
      </c>
      <c r="C266">
        <v>8.3200000000000021</v>
      </c>
    </row>
    <row r="267" spans="1:3" x14ac:dyDescent="0.25">
      <c r="A267">
        <v>47</v>
      </c>
      <c r="B267">
        <v>31</v>
      </c>
      <c r="C267">
        <v>8.3200000000000021</v>
      </c>
    </row>
    <row r="268" spans="1:3" x14ac:dyDescent="0.25">
      <c r="A268">
        <v>37</v>
      </c>
      <c r="B268">
        <v>49</v>
      </c>
      <c r="C268">
        <v>8.2800000000000011</v>
      </c>
    </row>
    <row r="269" spans="1:3" x14ac:dyDescent="0.25">
      <c r="A269">
        <v>49</v>
      </c>
      <c r="B269">
        <v>37</v>
      </c>
      <c r="C269">
        <v>8.2800000000000011</v>
      </c>
    </row>
    <row r="270" spans="1:3" x14ac:dyDescent="0.25">
      <c r="A270">
        <v>28</v>
      </c>
      <c r="B270">
        <v>31</v>
      </c>
      <c r="C270">
        <v>8.2799999999999994</v>
      </c>
    </row>
    <row r="271" spans="1:3" x14ac:dyDescent="0.25">
      <c r="A271">
        <v>31</v>
      </c>
      <c r="B271">
        <v>28</v>
      </c>
      <c r="C271">
        <v>8.2799999999999994</v>
      </c>
    </row>
    <row r="272" spans="1:3" x14ac:dyDescent="0.25">
      <c r="A272">
        <v>28</v>
      </c>
      <c r="B272">
        <v>48</v>
      </c>
      <c r="C272">
        <v>8.2099999999999991</v>
      </c>
    </row>
    <row r="273" spans="1:3" x14ac:dyDescent="0.25">
      <c r="A273">
        <v>48</v>
      </c>
      <c r="B273">
        <v>28</v>
      </c>
      <c r="C273">
        <v>8.2099999999999991</v>
      </c>
    </row>
    <row r="274" spans="1:3" x14ac:dyDescent="0.25">
      <c r="A274">
        <v>2</v>
      </c>
      <c r="B274">
        <v>31</v>
      </c>
      <c r="C274">
        <v>8.2099999999999955</v>
      </c>
    </row>
    <row r="275" spans="1:3" x14ac:dyDescent="0.25">
      <c r="A275">
        <v>31</v>
      </c>
      <c r="B275">
        <v>2</v>
      </c>
      <c r="C275">
        <v>8.2099999999999955</v>
      </c>
    </row>
    <row r="276" spans="1:3" x14ac:dyDescent="0.25">
      <c r="A276">
        <v>47</v>
      </c>
      <c r="B276">
        <v>48</v>
      </c>
      <c r="C276">
        <v>8.2000000000000011</v>
      </c>
    </row>
    <row r="277" spans="1:3" x14ac:dyDescent="0.25">
      <c r="A277">
        <v>48</v>
      </c>
      <c r="B277">
        <v>47</v>
      </c>
      <c r="C277">
        <v>8.2000000000000011</v>
      </c>
    </row>
    <row r="278" spans="1:3" x14ac:dyDescent="0.25">
      <c r="A278">
        <v>48</v>
      </c>
      <c r="B278">
        <v>48</v>
      </c>
      <c r="C278">
        <v>8.1999999999999993</v>
      </c>
    </row>
    <row r="279" spans="1:3" x14ac:dyDescent="0.25">
      <c r="A279">
        <v>2</v>
      </c>
      <c r="B279">
        <v>48</v>
      </c>
      <c r="C279">
        <v>8.199999999999994</v>
      </c>
    </row>
    <row r="280" spans="1:3" x14ac:dyDescent="0.25">
      <c r="A280">
        <v>48</v>
      </c>
      <c r="B280">
        <v>2</v>
      </c>
      <c r="C280">
        <v>8.199999999999994</v>
      </c>
    </row>
    <row r="281" spans="1:3" x14ac:dyDescent="0.25">
      <c r="A281">
        <v>10</v>
      </c>
      <c r="B281">
        <v>28</v>
      </c>
      <c r="C281">
        <v>8.1900000000000013</v>
      </c>
    </row>
    <row r="282" spans="1:3" x14ac:dyDescent="0.25">
      <c r="A282">
        <v>28</v>
      </c>
      <c r="B282">
        <v>10</v>
      </c>
      <c r="C282">
        <v>8.1900000000000013</v>
      </c>
    </row>
    <row r="283" spans="1:3" x14ac:dyDescent="0.25">
      <c r="A283">
        <v>48</v>
      </c>
      <c r="B283">
        <v>50</v>
      </c>
      <c r="C283">
        <v>8.1799999999999979</v>
      </c>
    </row>
    <row r="284" spans="1:3" x14ac:dyDescent="0.25">
      <c r="A284">
        <v>50</v>
      </c>
      <c r="B284">
        <v>48</v>
      </c>
      <c r="C284">
        <v>8.1799999999999979</v>
      </c>
    </row>
    <row r="285" spans="1:3" x14ac:dyDescent="0.25">
      <c r="A285">
        <v>35</v>
      </c>
      <c r="B285">
        <v>43</v>
      </c>
      <c r="C285">
        <v>8.17</v>
      </c>
    </row>
    <row r="286" spans="1:3" x14ac:dyDescent="0.25">
      <c r="A286">
        <v>43</v>
      </c>
      <c r="B286">
        <v>35</v>
      </c>
      <c r="C286">
        <v>8.17</v>
      </c>
    </row>
    <row r="287" spans="1:3" x14ac:dyDescent="0.25">
      <c r="A287">
        <v>3</v>
      </c>
      <c r="B287">
        <v>48</v>
      </c>
      <c r="C287">
        <v>8.1699999999999928</v>
      </c>
    </row>
    <row r="288" spans="1:3" x14ac:dyDescent="0.25">
      <c r="A288">
        <v>48</v>
      </c>
      <c r="B288">
        <v>3</v>
      </c>
      <c r="C288">
        <v>8.1699999999999928</v>
      </c>
    </row>
    <row r="289" spans="1:3" x14ac:dyDescent="0.25">
      <c r="A289">
        <v>6</v>
      </c>
      <c r="B289">
        <v>35</v>
      </c>
      <c r="C289">
        <v>8.1300000000000026</v>
      </c>
    </row>
    <row r="290" spans="1:3" x14ac:dyDescent="0.25">
      <c r="A290">
        <v>35</v>
      </c>
      <c r="B290">
        <v>6</v>
      </c>
      <c r="C290">
        <v>8.1300000000000026</v>
      </c>
    </row>
    <row r="291" spans="1:3" x14ac:dyDescent="0.25">
      <c r="A291">
        <v>3</v>
      </c>
      <c r="B291">
        <v>31</v>
      </c>
      <c r="C291">
        <v>8.0299999999999958</v>
      </c>
    </row>
    <row r="292" spans="1:3" x14ac:dyDescent="0.25">
      <c r="A292">
        <v>31</v>
      </c>
      <c r="B292">
        <v>3</v>
      </c>
      <c r="C292">
        <v>8.0299999999999958</v>
      </c>
    </row>
    <row r="293" spans="1:3" x14ac:dyDescent="0.25">
      <c r="A293">
        <v>12</v>
      </c>
      <c r="B293">
        <v>48</v>
      </c>
      <c r="C293">
        <v>8.0299999999999923</v>
      </c>
    </row>
    <row r="294" spans="1:3" x14ac:dyDescent="0.25">
      <c r="A294">
        <v>48</v>
      </c>
      <c r="B294">
        <v>12</v>
      </c>
      <c r="C294">
        <v>8.0299999999999923</v>
      </c>
    </row>
    <row r="295" spans="1:3" x14ac:dyDescent="0.25">
      <c r="A295">
        <v>14</v>
      </c>
      <c r="B295">
        <v>29</v>
      </c>
      <c r="C295">
        <v>8.0199999999999942</v>
      </c>
    </row>
    <row r="296" spans="1:3" x14ac:dyDescent="0.25">
      <c r="A296">
        <v>29</v>
      </c>
      <c r="B296">
        <v>14</v>
      </c>
      <c r="C296">
        <v>8.0199999999999942</v>
      </c>
    </row>
    <row r="297" spans="1:3" x14ac:dyDescent="0.25">
      <c r="A297">
        <v>31</v>
      </c>
      <c r="B297">
        <v>50</v>
      </c>
      <c r="C297">
        <v>7.9999999999999982</v>
      </c>
    </row>
    <row r="298" spans="1:3" x14ac:dyDescent="0.25">
      <c r="A298">
        <v>50</v>
      </c>
      <c r="B298">
        <v>31</v>
      </c>
      <c r="C298">
        <v>7.9999999999999982</v>
      </c>
    </row>
    <row r="299" spans="1:3" x14ac:dyDescent="0.25">
      <c r="A299">
        <v>40</v>
      </c>
      <c r="B299">
        <v>48</v>
      </c>
      <c r="C299">
        <v>7.88</v>
      </c>
    </row>
    <row r="300" spans="1:3" x14ac:dyDescent="0.25">
      <c r="A300">
        <v>48</v>
      </c>
      <c r="B300">
        <v>40</v>
      </c>
      <c r="C300">
        <v>7.88</v>
      </c>
    </row>
    <row r="301" spans="1:3" x14ac:dyDescent="0.25">
      <c r="A301">
        <v>5</v>
      </c>
      <c r="B301">
        <v>49</v>
      </c>
      <c r="C301">
        <v>7.7300000000000031</v>
      </c>
    </row>
    <row r="302" spans="1:3" x14ac:dyDescent="0.25">
      <c r="A302">
        <v>49</v>
      </c>
      <c r="B302">
        <v>5</v>
      </c>
      <c r="C302">
        <v>7.7300000000000031</v>
      </c>
    </row>
    <row r="303" spans="1:3" x14ac:dyDescent="0.25">
      <c r="A303">
        <v>4</v>
      </c>
      <c r="B303">
        <v>48</v>
      </c>
      <c r="C303">
        <v>7.71999999999999</v>
      </c>
    </row>
    <row r="304" spans="1:3" x14ac:dyDescent="0.25">
      <c r="A304">
        <v>48</v>
      </c>
      <c r="B304">
        <v>4</v>
      </c>
      <c r="C304">
        <v>7.71999999999999</v>
      </c>
    </row>
    <row r="305" spans="1:3" x14ac:dyDescent="0.25">
      <c r="A305">
        <v>12</v>
      </c>
      <c r="B305">
        <v>31</v>
      </c>
      <c r="C305">
        <v>7.5700000000000021</v>
      </c>
    </row>
    <row r="306" spans="1:3" x14ac:dyDescent="0.25">
      <c r="A306">
        <v>31</v>
      </c>
      <c r="B306">
        <v>12</v>
      </c>
      <c r="C306">
        <v>7.5700000000000021</v>
      </c>
    </row>
    <row r="307" spans="1:3" x14ac:dyDescent="0.25">
      <c r="A307">
        <v>8</v>
      </c>
      <c r="B307">
        <v>49</v>
      </c>
      <c r="C307">
        <v>7.5600000000000085</v>
      </c>
    </row>
    <row r="308" spans="1:3" x14ac:dyDescent="0.25">
      <c r="A308">
        <v>49</v>
      </c>
      <c r="B308">
        <v>8</v>
      </c>
      <c r="C308">
        <v>7.5600000000000085</v>
      </c>
    </row>
    <row r="309" spans="1:3" x14ac:dyDescent="0.25">
      <c r="A309">
        <v>6</v>
      </c>
      <c r="B309">
        <v>28</v>
      </c>
      <c r="C309">
        <v>7.5600000000000058</v>
      </c>
    </row>
    <row r="310" spans="1:3" x14ac:dyDescent="0.25">
      <c r="A310">
        <v>28</v>
      </c>
      <c r="B310">
        <v>6</v>
      </c>
      <c r="C310">
        <v>7.5600000000000058</v>
      </c>
    </row>
    <row r="311" spans="1:3" x14ac:dyDescent="0.25">
      <c r="A311">
        <v>10</v>
      </c>
      <c r="B311">
        <v>49</v>
      </c>
      <c r="C311">
        <v>7.5500000000000034</v>
      </c>
    </row>
    <row r="312" spans="1:3" x14ac:dyDescent="0.25">
      <c r="A312">
        <v>49</v>
      </c>
      <c r="B312">
        <v>10</v>
      </c>
      <c r="C312">
        <v>7.5500000000000034</v>
      </c>
    </row>
    <row r="313" spans="1:3" x14ac:dyDescent="0.25">
      <c r="A313">
        <v>39</v>
      </c>
      <c r="B313">
        <v>39</v>
      </c>
      <c r="C313">
        <v>7.34</v>
      </c>
    </row>
    <row r="314" spans="1:3" x14ac:dyDescent="0.25">
      <c r="A314">
        <v>35</v>
      </c>
      <c r="B314">
        <v>39</v>
      </c>
      <c r="C314">
        <v>7.33</v>
      </c>
    </row>
    <row r="315" spans="1:3" x14ac:dyDescent="0.25">
      <c r="A315">
        <v>39</v>
      </c>
      <c r="B315">
        <v>35</v>
      </c>
      <c r="C315">
        <v>7.33</v>
      </c>
    </row>
    <row r="316" spans="1:3" x14ac:dyDescent="0.25">
      <c r="A316">
        <v>7</v>
      </c>
      <c r="B316">
        <v>13</v>
      </c>
      <c r="C316">
        <v>7.220000000000006</v>
      </c>
    </row>
    <row r="317" spans="1:3" x14ac:dyDescent="0.25">
      <c r="A317">
        <v>13</v>
      </c>
      <c r="B317">
        <v>7</v>
      </c>
      <c r="C317">
        <v>7.220000000000006</v>
      </c>
    </row>
    <row r="318" spans="1:3" x14ac:dyDescent="0.25">
      <c r="A318">
        <v>41</v>
      </c>
      <c r="B318">
        <v>41</v>
      </c>
      <c r="C318">
        <v>7.12</v>
      </c>
    </row>
    <row r="319" spans="1:3" x14ac:dyDescent="0.25">
      <c r="A319">
        <v>13</v>
      </c>
      <c r="B319">
        <v>48</v>
      </c>
      <c r="C319">
        <v>7.1099999999999994</v>
      </c>
    </row>
    <row r="320" spans="1:3" x14ac:dyDescent="0.25">
      <c r="A320">
        <v>48</v>
      </c>
      <c r="B320">
        <v>13</v>
      </c>
      <c r="C320">
        <v>7.1099999999999994</v>
      </c>
    </row>
    <row r="321" spans="1:3" x14ac:dyDescent="0.25">
      <c r="A321">
        <v>11</v>
      </c>
      <c r="B321">
        <v>49</v>
      </c>
      <c r="C321">
        <v>7.0699999999999994</v>
      </c>
    </row>
    <row r="322" spans="1:3" x14ac:dyDescent="0.25">
      <c r="A322">
        <v>49</v>
      </c>
      <c r="B322">
        <v>11</v>
      </c>
      <c r="C322">
        <v>7.0699999999999994</v>
      </c>
    </row>
    <row r="323" spans="1:3" x14ac:dyDescent="0.25">
      <c r="A323">
        <v>41</v>
      </c>
      <c r="B323">
        <v>43</v>
      </c>
      <c r="C323">
        <v>7.02</v>
      </c>
    </row>
    <row r="324" spans="1:3" x14ac:dyDescent="0.25">
      <c r="A324">
        <v>43</v>
      </c>
      <c r="B324">
        <v>41</v>
      </c>
      <c r="C324">
        <v>7.02</v>
      </c>
    </row>
    <row r="325" spans="1:3" x14ac:dyDescent="0.25">
      <c r="A325">
        <v>29</v>
      </c>
      <c r="B325">
        <v>41</v>
      </c>
      <c r="C325">
        <v>7.01</v>
      </c>
    </row>
    <row r="326" spans="1:3" x14ac:dyDescent="0.25">
      <c r="A326">
        <v>41</v>
      </c>
      <c r="B326">
        <v>29</v>
      </c>
      <c r="C326">
        <v>7.01</v>
      </c>
    </row>
    <row r="327" spans="1:3" x14ac:dyDescent="0.25">
      <c r="A327">
        <v>15</v>
      </c>
      <c r="B327">
        <v>15</v>
      </c>
      <c r="C327">
        <v>6.98</v>
      </c>
    </row>
    <row r="328" spans="1:3" x14ac:dyDescent="0.25">
      <c r="A328">
        <v>4</v>
      </c>
      <c r="B328">
        <v>15</v>
      </c>
      <c r="C328">
        <v>6.96999999999999</v>
      </c>
    </row>
    <row r="329" spans="1:3" x14ac:dyDescent="0.25">
      <c r="A329">
        <v>15</v>
      </c>
      <c r="B329">
        <v>4</v>
      </c>
      <c r="C329">
        <v>6.96999999999999</v>
      </c>
    </row>
    <row r="330" spans="1:3" x14ac:dyDescent="0.25">
      <c r="A330">
        <v>29</v>
      </c>
      <c r="B330">
        <v>31</v>
      </c>
      <c r="C330">
        <v>6.9499999999999993</v>
      </c>
    </row>
    <row r="331" spans="1:3" x14ac:dyDescent="0.25">
      <c r="A331">
        <v>31</v>
      </c>
      <c r="B331">
        <v>29</v>
      </c>
      <c r="C331">
        <v>6.9499999999999993</v>
      </c>
    </row>
    <row r="332" spans="1:3" x14ac:dyDescent="0.25">
      <c r="A332">
        <v>7</v>
      </c>
      <c r="B332">
        <v>16</v>
      </c>
      <c r="C332">
        <v>6.9199999999999982</v>
      </c>
    </row>
    <row r="333" spans="1:3" x14ac:dyDescent="0.25">
      <c r="A333">
        <v>16</v>
      </c>
      <c r="B333">
        <v>7</v>
      </c>
      <c r="C333">
        <v>6.9199999999999982</v>
      </c>
    </row>
    <row r="334" spans="1:3" x14ac:dyDescent="0.25">
      <c r="A334">
        <v>15</v>
      </c>
      <c r="B334">
        <v>31</v>
      </c>
      <c r="C334">
        <v>6.91</v>
      </c>
    </row>
    <row r="335" spans="1:3" x14ac:dyDescent="0.25">
      <c r="A335">
        <v>31</v>
      </c>
      <c r="B335">
        <v>15</v>
      </c>
      <c r="C335">
        <v>6.91</v>
      </c>
    </row>
    <row r="336" spans="1:3" x14ac:dyDescent="0.25">
      <c r="A336">
        <v>29</v>
      </c>
      <c r="B336">
        <v>39</v>
      </c>
      <c r="C336">
        <v>6.8999999999999986</v>
      </c>
    </row>
    <row r="337" spans="1:3" x14ac:dyDescent="0.25">
      <c r="A337">
        <v>39</v>
      </c>
      <c r="B337">
        <v>29</v>
      </c>
      <c r="C337">
        <v>6.8999999999999986</v>
      </c>
    </row>
    <row r="338" spans="1:3" x14ac:dyDescent="0.25">
      <c r="A338">
        <v>5</v>
      </c>
      <c r="B338">
        <v>45</v>
      </c>
      <c r="C338">
        <v>6.8800000000000043</v>
      </c>
    </row>
    <row r="339" spans="1:3" x14ac:dyDescent="0.25">
      <c r="A339">
        <v>45</v>
      </c>
      <c r="B339">
        <v>5</v>
      </c>
      <c r="C339">
        <v>6.8800000000000043</v>
      </c>
    </row>
    <row r="340" spans="1:3" x14ac:dyDescent="0.25">
      <c r="A340">
        <v>45</v>
      </c>
      <c r="B340">
        <v>45</v>
      </c>
      <c r="C340">
        <v>6.88</v>
      </c>
    </row>
    <row r="341" spans="1:3" x14ac:dyDescent="0.25">
      <c r="A341">
        <v>11</v>
      </c>
      <c r="B341">
        <v>48</v>
      </c>
      <c r="C341">
        <v>6.85</v>
      </c>
    </row>
    <row r="342" spans="1:3" x14ac:dyDescent="0.25">
      <c r="A342">
        <v>35</v>
      </c>
      <c r="B342">
        <v>41</v>
      </c>
      <c r="C342">
        <v>6.85</v>
      </c>
    </row>
    <row r="343" spans="1:3" x14ac:dyDescent="0.25">
      <c r="A343">
        <v>41</v>
      </c>
      <c r="B343">
        <v>35</v>
      </c>
      <c r="C343">
        <v>6.85</v>
      </c>
    </row>
    <row r="344" spans="1:3" x14ac:dyDescent="0.25">
      <c r="A344">
        <v>48</v>
      </c>
      <c r="B344">
        <v>11</v>
      </c>
      <c r="C344">
        <v>6.85</v>
      </c>
    </row>
    <row r="345" spans="1:3" x14ac:dyDescent="0.25">
      <c r="A345">
        <v>11</v>
      </c>
      <c r="B345">
        <v>45</v>
      </c>
      <c r="C345">
        <v>6.76</v>
      </c>
    </row>
    <row r="346" spans="1:3" x14ac:dyDescent="0.25">
      <c r="A346">
        <v>39</v>
      </c>
      <c r="B346">
        <v>43</v>
      </c>
      <c r="C346">
        <v>6.76</v>
      </c>
    </row>
    <row r="347" spans="1:3" x14ac:dyDescent="0.25">
      <c r="A347">
        <v>43</v>
      </c>
      <c r="B347">
        <v>39</v>
      </c>
      <c r="C347">
        <v>6.76</v>
      </c>
    </row>
    <row r="348" spans="1:3" x14ac:dyDescent="0.25">
      <c r="A348">
        <v>45</v>
      </c>
      <c r="B348">
        <v>11</v>
      </c>
      <c r="C348">
        <v>6.76</v>
      </c>
    </row>
    <row r="349" spans="1:3" x14ac:dyDescent="0.25">
      <c r="A349">
        <v>31</v>
      </c>
      <c r="B349">
        <v>40</v>
      </c>
      <c r="C349">
        <v>6.73</v>
      </c>
    </row>
    <row r="350" spans="1:3" x14ac:dyDescent="0.25">
      <c r="A350">
        <v>40</v>
      </c>
      <c r="B350">
        <v>31</v>
      </c>
      <c r="C350">
        <v>6.73</v>
      </c>
    </row>
    <row r="351" spans="1:3" x14ac:dyDescent="0.25">
      <c r="A351">
        <v>38</v>
      </c>
      <c r="B351">
        <v>38</v>
      </c>
      <c r="C351">
        <v>6.72</v>
      </c>
    </row>
    <row r="352" spans="1:3" x14ac:dyDescent="0.25">
      <c r="A352">
        <v>35</v>
      </c>
      <c r="B352">
        <v>38</v>
      </c>
      <c r="C352">
        <v>6.66</v>
      </c>
    </row>
    <row r="353" spans="1:3" x14ac:dyDescent="0.25">
      <c r="A353">
        <v>38</v>
      </c>
      <c r="B353">
        <v>35</v>
      </c>
      <c r="C353">
        <v>6.66</v>
      </c>
    </row>
    <row r="354" spans="1:3" x14ac:dyDescent="0.25">
      <c r="A354">
        <v>6</v>
      </c>
      <c r="B354">
        <v>39</v>
      </c>
      <c r="C354">
        <v>6.6300000000000079</v>
      </c>
    </row>
    <row r="355" spans="1:3" x14ac:dyDescent="0.25">
      <c r="A355">
        <v>39</v>
      </c>
      <c r="B355">
        <v>6</v>
      </c>
      <c r="C355">
        <v>6.6300000000000079</v>
      </c>
    </row>
    <row r="356" spans="1:3" x14ac:dyDescent="0.25">
      <c r="A356">
        <v>14</v>
      </c>
      <c r="B356">
        <v>37</v>
      </c>
      <c r="C356">
        <v>6.5699999999999985</v>
      </c>
    </row>
    <row r="357" spans="1:3" x14ac:dyDescent="0.25">
      <c r="A357">
        <v>37</v>
      </c>
      <c r="B357">
        <v>14</v>
      </c>
      <c r="C357">
        <v>6.5699999999999985</v>
      </c>
    </row>
    <row r="358" spans="1:3" x14ac:dyDescent="0.25">
      <c r="A358">
        <v>31</v>
      </c>
      <c r="B358">
        <v>48</v>
      </c>
      <c r="C358">
        <v>6.54</v>
      </c>
    </row>
    <row r="359" spans="1:3" x14ac:dyDescent="0.25">
      <c r="A359">
        <v>48</v>
      </c>
      <c r="B359">
        <v>31</v>
      </c>
      <c r="C359">
        <v>6.54</v>
      </c>
    </row>
    <row r="360" spans="1:3" x14ac:dyDescent="0.25">
      <c r="A360">
        <v>38</v>
      </c>
      <c r="B360">
        <v>41</v>
      </c>
      <c r="C360">
        <v>6.53</v>
      </c>
    </row>
    <row r="361" spans="1:3" x14ac:dyDescent="0.25">
      <c r="A361">
        <v>41</v>
      </c>
      <c r="B361">
        <v>38</v>
      </c>
      <c r="C361">
        <v>6.53</v>
      </c>
    </row>
    <row r="362" spans="1:3" x14ac:dyDescent="0.25">
      <c r="A362">
        <v>19</v>
      </c>
      <c r="B362">
        <v>19</v>
      </c>
      <c r="C362">
        <v>6.52</v>
      </c>
    </row>
    <row r="363" spans="1:3" x14ac:dyDescent="0.25">
      <c r="A363">
        <v>38</v>
      </c>
      <c r="B363">
        <v>39</v>
      </c>
      <c r="C363">
        <v>6.52</v>
      </c>
    </row>
    <row r="364" spans="1:3" x14ac:dyDescent="0.25">
      <c r="A364">
        <v>39</v>
      </c>
      <c r="B364">
        <v>38</v>
      </c>
      <c r="C364">
        <v>6.52</v>
      </c>
    </row>
    <row r="365" spans="1:3" x14ac:dyDescent="0.25">
      <c r="A365">
        <v>29</v>
      </c>
      <c r="B365">
        <v>38</v>
      </c>
      <c r="C365">
        <v>6.4999999999999982</v>
      </c>
    </row>
    <row r="366" spans="1:3" x14ac:dyDescent="0.25">
      <c r="A366">
        <v>38</v>
      </c>
      <c r="B366">
        <v>29</v>
      </c>
      <c r="C366">
        <v>6.4999999999999982</v>
      </c>
    </row>
    <row r="367" spans="1:3" x14ac:dyDescent="0.25">
      <c r="A367">
        <v>18</v>
      </c>
      <c r="B367">
        <v>18</v>
      </c>
      <c r="C367">
        <v>6.48</v>
      </c>
    </row>
    <row r="368" spans="1:3" x14ac:dyDescent="0.25">
      <c r="A368">
        <v>38</v>
      </c>
      <c r="B368">
        <v>43</v>
      </c>
      <c r="C368">
        <v>6.48</v>
      </c>
    </row>
    <row r="369" spans="1:3" x14ac:dyDescent="0.25">
      <c r="A369">
        <v>43</v>
      </c>
      <c r="B369">
        <v>38</v>
      </c>
      <c r="C369">
        <v>6.48</v>
      </c>
    </row>
    <row r="370" spans="1:3" x14ac:dyDescent="0.25">
      <c r="A370">
        <v>12</v>
      </c>
      <c r="B370">
        <v>18</v>
      </c>
      <c r="C370">
        <v>6.4700000000000042</v>
      </c>
    </row>
    <row r="371" spans="1:3" x14ac:dyDescent="0.25">
      <c r="A371">
        <v>18</v>
      </c>
      <c r="B371">
        <v>12</v>
      </c>
      <c r="C371">
        <v>6.4700000000000042</v>
      </c>
    </row>
    <row r="372" spans="1:3" x14ac:dyDescent="0.25">
      <c r="A372">
        <v>7</v>
      </c>
      <c r="B372">
        <v>45</v>
      </c>
      <c r="C372">
        <v>6.4700000000000006</v>
      </c>
    </row>
    <row r="373" spans="1:3" x14ac:dyDescent="0.25">
      <c r="A373">
        <v>18</v>
      </c>
      <c r="B373">
        <v>40</v>
      </c>
      <c r="C373">
        <v>6.4700000000000006</v>
      </c>
    </row>
    <row r="374" spans="1:3" x14ac:dyDescent="0.25">
      <c r="A374">
        <v>40</v>
      </c>
      <c r="B374">
        <v>18</v>
      </c>
      <c r="C374">
        <v>6.4700000000000006</v>
      </c>
    </row>
    <row r="375" spans="1:3" x14ac:dyDescent="0.25">
      <c r="A375">
        <v>45</v>
      </c>
      <c r="B375">
        <v>7</v>
      </c>
      <c r="C375">
        <v>6.4700000000000006</v>
      </c>
    </row>
    <row r="376" spans="1:3" x14ac:dyDescent="0.25">
      <c r="A376">
        <v>6</v>
      </c>
      <c r="B376">
        <v>16</v>
      </c>
      <c r="C376">
        <v>6.4600000000000044</v>
      </c>
    </row>
    <row r="377" spans="1:3" x14ac:dyDescent="0.25">
      <c r="A377">
        <v>16</v>
      </c>
      <c r="B377">
        <v>6</v>
      </c>
      <c r="C377">
        <v>6.4600000000000044</v>
      </c>
    </row>
    <row r="378" spans="1:3" x14ac:dyDescent="0.25">
      <c r="A378">
        <v>3</v>
      </c>
      <c r="B378">
        <v>18</v>
      </c>
      <c r="C378">
        <v>6.4599999999999991</v>
      </c>
    </row>
    <row r="379" spans="1:3" x14ac:dyDescent="0.25">
      <c r="A379">
        <v>18</v>
      </c>
      <c r="B379">
        <v>3</v>
      </c>
      <c r="C379">
        <v>6.4599999999999991</v>
      </c>
    </row>
    <row r="380" spans="1:3" x14ac:dyDescent="0.25">
      <c r="A380">
        <v>15</v>
      </c>
      <c r="B380">
        <v>47</v>
      </c>
      <c r="C380">
        <v>6.4500000000000011</v>
      </c>
    </row>
    <row r="381" spans="1:3" x14ac:dyDescent="0.25">
      <c r="A381">
        <v>47</v>
      </c>
      <c r="B381">
        <v>15</v>
      </c>
      <c r="C381">
        <v>6.4500000000000011</v>
      </c>
    </row>
    <row r="382" spans="1:3" x14ac:dyDescent="0.25">
      <c r="A382">
        <v>39</v>
      </c>
      <c r="B382">
        <v>41</v>
      </c>
      <c r="C382">
        <v>6.45</v>
      </c>
    </row>
    <row r="383" spans="1:3" x14ac:dyDescent="0.25">
      <c r="A383">
        <v>41</v>
      </c>
      <c r="B383">
        <v>39</v>
      </c>
      <c r="C383">
        <v>6.45</v>
      </c>
    </row>
    <row r="384" spans="1:3" x14ac:dyDescent="0.25">
      <c r="A384">
        <v>18</v>
      </c>
      <c r="B384">
        <v>50</v>
      </c>
      <c r="C384">
        <v>6.4499999999999975</v>
      </c>
    </row>
    <row r="385" spans="1:3" x14ac:dyDescent="0.25">
      <c r="A385">
        <v>50</v>
      </c>
      <c r="B385">
        <v>18</v>
      </c>
      <c r="C385">
        <v>6.4499999999999975</v>
      </c>
    </row>
    <row r="386" spans="1:3" x14ac:dyDescent="0.25">
      <c r="A386">
        <v>2</v>
      </c>
      <c r="B386">
        <v>18</v>
      </c>
      <c r="C386">
        <v>6.42</v>
      </c>
    </row>
    <row r="387" spans="1:3" x14ac:dyDescent="0.25">
      <c r="A387">
        <v>18</v>
      </c>
      <c r="B387">
        <v>2</v>
      </c>
      <c r="C387">
        <v>6.42</v>
      </c>
    </row>
    <row r="388" spans="1:3" x14ac:dyDescent="0.25">
      <c r="A388">
        <v>15</v>
      </c>
      <c r="B388">
        <v>28</v>
      </c>
      <c r="C388">
        <v>6.4</v>
      </c>
    </row>
    <row r="389" spans="1:3" x14ac:dyDescent="0.25">
      <c r="A389">
        <v>24</v>
      </c>
      <c r="B389">
        <v>24</v>
      </c>
      <c r="C389">
        <v>6.4</v>
      </c>
    </row>
    <row r="390" spans="1:3" x14ac:dyDescent="0.25">
      <c r="A390">
        <v>28</v>
      </c>
      <c r="B390">
        <v>15</v>
      </c>
      <c r="C390">
        <v>6.4</v>
      </c>
    </row>
    <row r="391" spans="1:3" x14ac:dyDescent="0.25">
      <c r="A391">
        <v>18</v>
      </c>
      <c r="B391">
        <v>28</v>
      </c>
      <c r="C391">
        <v>6.3899999999999988</v>
      </c>
    </row>
    <row r="392" spans="1:3" x14ac:dyDescent="0.25">
      <c r="A392">
        <v>28</v>
      </c>
      <c r="B392">
        <v>18</v>
      </c>
      <c r="C392">
        <v>6.3899999999999988</v>
      </c>
    </row>
    <row r="393" spans="1:3" x14ac:dyDescent="0.25">
      <c r="A393">
        <v>6</v>
      </c>
      <c r="B393">
        <v>19</v>
      </c>
      <c r="C393">
        <v>6.3800000000000043</v>
      </c>
    </row>
    <row r="394" spans="1:3" x14ac:dyDescent="0.25">
      <c r="A394">
        <v>19</v>
      </c>
      <c r="B394">
        <v>6</v>
      </c>
      <c r="C394">
        <v>6.3800000000000043</v>
      </c>
    </row>
    <row r="395" spans="1:3" x14ac:dyDescent="0.25">
      <c r="A395">
        <v>36</v>
      </c>
      <c r="B395">
        <v>36</v>
      </c>
      <c r="C395">
        <v>6.36</v>
      </c>
    </row>
    <row r="396" spans="1:3" x14ac:dyDescent="0.25">
      <c r="A396">
        <v>28</v>
      </c>
      <c r="B396">
        <v>43</v>
      </c>
      <c r="C396">
        <v>6.3599999999999977</v>
      </c>
    </row>
    <row r="397" spans="1:3" x14ac:dyDescent="0.25">
      <c r="A397">
        <v>43</v>
      </c>
      <c r="B397">
        <v>28</v>
      </c>
      <c r="C397">
        <v>6.3599999999999977</v>
      </c>
    </row>
    <row r="398" spans="1:3" x14ac:dyDescent="0.25">
      <c r="A398">
        <v>2</v>
      </c>
      <c r="B398">
        <v>43</v>
      </c>
      <c r="C398">
        <v>6.35</v>
      </c>
    </row>
    <row r="399" spans="1:3" x14ac:dyDescent="0.25">
      <c r="A399">
        <v>18</v>
      </c>
      <c r="B399">
        <v>47</v>
      </c>
      <c r="C399">
        <v>6.35</v>
      </c>
    </row>
    <row r="400" spans="1:3" x14ac:dyDescent="0.25">
      <c r="A400">
        <v>43</v>
      </c>
      <c r="B400">
        <v>2</v>
      </c>
      <c r="C400">
        <v>6.35</v>
      </c>
    </row>
    <row r="401" spans="1:3" x14ac:dyDescent="0.25">
      <c r="A401">
        <v>47</v>
      </c>
      <c r="B401">
        <v>18</v>
      </c>
      <c r="C401">
        <v>6.35</v>
      </c>
    </row>
    <row r="402" spans="1:3" x14ac:dyDescent="0.25">
      <c r="A402">
        <v>13</v>
      </c>
      <c r="B402">
        <v>18</v>
      </c>
      <c r="C402">
        <v>6.34</v>
      </c>
    </row>
    <row r="403" spans="1:3" x14ac:dyDescent="0.25">
      <c r="A403">
        <v>18</v>
      </c>
      <c r="B403">
        <v>13</v>
      </c>
      <c r="C403">
        <v>6.34</v>
      </c>
    </row>
    <row r="404" spans="1:3" x14ac:dyDescent="0.25">
      <c r="A404">
        <v>2</v>
      </c>
      <c r="B404">
        <v>15</v>
      </c>
      <c r="C404">
        <v>6.3399999999999945</v>
      </c>
    </row>
    <row r="405" spans="1:3" x14ac:dyDescent="0.25">
      <c r="A405">
        <v>15</v>
      </c>
      <c r="B405">
        <v>2</v>
      </c>
      <c r="C405">
        <v>6.3399999999999945</v>
      </c>
    </row>
    <row r="406" spans="1:3" x14ac:dyDescent="0.25">
      <c r="A406">
        <v>43</v>
      </c>
      <c r="B406">
        <v>47</v>
      </c>
      <c r="C406">
        <v>6.3199999999999985</v>
      </c>
    </row>
    <row r="407" spans="1:3" x14ac:dyDescent="0.25">
      <c r="A407">
        <v>47</v>
      </c>
      <c r="B407">
        <v>43</v>
      </c>
      <c r="C407">
        <v>6.3199999999999985</v>
      </c>
    </row>
    <row r="408" spans="1:3" x14ac:dyDescent="0.25">
      <c r="A408">
        <v>4</v>
      </c>
      <c r="B408">
        <v>36</v>
      </c>
      <c r="C408">
        <v>6.3099999999999952</v>
      </c>
    </row>
    <row r="409" spans="1:3" x14ac:dyDescent="0.25">
      <c r="A409">
        <v>36</v>
      </c>
      <c r="B409">
        <v>4</v>
      </c>
      <c r="C409">
        <v>6.3099999999999952</v>
      </c>
    </row>
    <row r="410" spans="1:3" x14ac:dyDescent="0.25">
      <c r="A410">
        <v>8</v>
      </c>
      <c r="B410">
        <v>47</v>
      </c>
      <c r="C410">
        <v>6.2399999999999984</v>
      </c>
    </row>
    <row r="411" spans="1:3" x14ac:dyDescent="0.25">
      <c r="A411">
        <v>47</v>
      </c>
      <c r="B411">
        <v>8</v>
      </c>
      <c r="C411">
        <v>6.2399999999999984</v>
      </c>
    </row>
    <row r="412" spans="1:3" x14ac:dyDescent="0.25">
      <c r="A412">
        <v>11</v>
      </c>
      <c r="B412">
        <v>29</v>
      </c>
      <c r="C412">
        <v>6.2399999999999931</v>
      </c>
    </row>
    <row r="413" spans="1:3" x14ac:dyDescent="0.25">
      <c r="A413">
        <v>29</v>
      </c>
      <c r="B413">
        <v>11</v>
      </c>
      <c r="C413">
        <v>6.2399999999999931</v>
      </c>
    </row>
    <row r="414" spans="1:3" x14ac:dyDescent="0.25">
      <c r="A414">
        <v>31</v>
      </c>
      <c r="B414">
        <v>36</v>
      </c>
      <c r="C414">
        <v>6.23</v>
      </c>
    </row>
    <row r="415" spans="1:3" x14ac:dyDescent="0.25">
      <c r="A415">
        <v>36</v>
      </c>
      <c r="B415">
        <v>31</v>
      </c>
      <c r="C415">
        <v>6.23</v>
      </c>
    </row>
    <row r="416" spans="1:3" x14ac:dyDescent="0.25">
      <c r="A416">
        <v>36</v>
      </c>
      <c r="B416">
        <v>47</v>
      </c>
      <c r="C416">
        <v>6.23</v>
      </c>
    </row>
    <row r="417" spans="1:3" x14ac:dyDescent="0.25">
      <c r="A417">
        <v>47</v>
      </c>
      <c r="B417">
        <v>36</v>
      </c>
      <c r="C417">
        <v>6.23</v>
      </c>
    </row>
    <row r="418" spans="1:3" x14ac:dyDescent="0.25">
      <c r="A418">
        <v>28</v>
      </c>
      <c r="B418">
        <v>36</v>
      </c>
      <c r="C418">
        <v>6.2099999999999973</v>
      </c>
    </row>
    <row r="419" spans="1:3" x14ac:dyDescent="0.25">
      <c r="A419">
        <v>36</v>
      </c>
      <c r="B419">
        <v>28</v>
      </c>
      <c r="C419">
        <v>6.2099999999999973</v>
      </c>
    </row>
    <row r="420" spans="1:3" x14ac:dyDescent="0.25">
      <c r="A420">
        <v>24</v>
      </c>
      <c r="B420">
        <v>35</v>
      </c>
      <c r="C420">
        <v>6.19</v>
      </c>
    </row>
    <row r="421" spans="1:3" x14ac:dyDescent="0.25">
      <c r="A421">
        <v>35</v>
      </c>
      <c r="B421">
        <v>24</v>
      </c>
      <c r="C421">
        <v>6.19</v>
      </c>
    </row>
    <row r="422" spans="1:3" x14ac:dyDescent="0.25">
      <c r="A422">
        <v>3</v>
      </c>
      <c r="B422">
        <v>15</v>
      </c>
      <c r="C422">
        <v>6.1799999999999979</v>
      </c>
    </row>
    <row r="423" spans="1:3" x14ac:dyDescent="0.25">
      <c r="A423">
        <v>15</v>
      </c>
      <c r="B423">
        <v>3</v>
      </c>
      <c r="C423">
        <v>6.1799999999999979</v>
      </c>
    </row>
    <row r="424" spans="1:3" x14ac:dyDescent="0.25">
      <c r="A424">
        <v>15</v>
      </c>
      <c r="B424">
        <v>50</v>
      </c>
      <c r="C424">
        <v>6.1599999999999984</v>
      </c>
    </row>
    <row r="425" spans="1:3" x14ac:dyDescent="0.25">
      <c r="A425">
        <v>50</v>
      </c>
      <c r="B425">
        <v>15</v>
      </c>
      <c r="C425">
        <v>6.1599999999999984</v>
      </c>
    </row>
    <row r="426" spans="1:3" x14ac:dyDescent="0.25">
      <c r="A426">
        <v>2</v>
      </c>
      <c r="B426">
        <v>36</v>
      </c>
      <c r="C426">
        <v>6.1599999999999966</v>
      </c>
    </row>
    <row r="427" spans="1:3" x14ac:dyDescent="0.25">
      <c r="A427">
        <v>36</v>
      </c>
      <c r="B427">
        <v>2</v>
      </c>
      <c r="C427">
        <v>6.1599999999999966</v>
      </c>
    </row>
    <row r="428" spans="1:3" x14ac:dyDescent="0.25">
      <c r="A428">
        <v>18</v>
      </c>
      <c r="B428">
        <v>48</v>
      </c>
      <c r="C428">
        <v>6.14</v>
      </c>
    </row>
    <row r="429" spans="1:3" x14ac:dyDescent="0.25">
      <c r="A429">
        <v>48</v>
      </c>
      <c r="B429">
        <v>18</v>
      </c>
      <c r="C429">
        <v>6.14</v>
      </c>
    </row>
    <row r="430" spans="1:3" x14ac:dyDescent="0.25">
      <c r="A430">
        <v>12</v>
      </c>
      <c r="B430">
        <v>37</v>
      </c>
      <c r="C430">
        <v>6.1199999999999957</v>
      </c>
    </row>
    <row r="431" spans="1:3" x14ac:dyDescent="0.25">
      <c r="A431">
        <v>37</v>
      </c>
      <c r="B431">
        <v>12</v>
      </c>
      <c r="C431">
        <v>6.1199999999999957</v>
      </c>
    </row>
    <row r="432" spans="1:3" x14ac:dyDescent="0.25">
      <c r="A432">
        <v>24</v>
      </c>
      <c r="B432">
        <v>39</v>
      </c>
      <c r="C432">
        <v>6.1</v>
      </c>
    </row>
    <row r="433" spans="1:3" x14ac:dyDescent="0.25">
      <c r="A433">
        <v>39</v>
      </c>
      <c r="B433">
        <v>24</v>
      </c>
      <c r="C433">
        <v>6.1</v>
      </c>
    </row>
    <row r="434" spans="1:3" x14ac:dyDescent="0.25">
      <c r="A434">
        <v>6</v>
      </c>
      <c r="B434">
        <v>24</v>
      </c>
      <c r="C434">
        <v>6.0800000000000098</v>
      </c>
    </row>
    <row r="435" spans="1:3" x14ac:dyDescent="0.25">
      <c r="A435">
        <v>24</v>
      </c>
      <c r="B435">
        <v>6</v>
      </c>
      <c r="C435">
        <v>6.0800000000000098</v>
      </c>
    </row>
    <row r="436" spans="1:3" x14ac:dyDescent="0.25">
      <c r="A436">
        <v>36</v>
      </c>
      <c r="B436">
        <v>50</v>
      </c>
      <c r="C436">
        <v>6.0699999999999967</v>
      </c>
    </row>
    <row r="437" spans="1:3" x14ac:dyDescent="0.25">
      <c r="A437">
        <v>50</v>
      </c>
      <c r="B437">
        <v>36</v>
      </c>
      <c r="C437">
        <v>6.0699999999999967</v>
      </c>
    </row>
    <row r="438" spans="1:3" x14ac:dyDescent="0.25">
      <c r="A438">
        <v>27</v>
      </c>
      <c r="B438">
        <v>27</v>
      </c>
      <c r="C438">
        <v>6.06</v>
      </c>
    </row>
    <row r="439" spans="1:3" x14ac:dyDescent="0.25">
      <c r="A439">
        <v>3</v>
      </c>
      <c r="B439">
        <v>36</v>
      </c>
      <c r="C439">
        <v>6.0599999999999952</v>
      </c>
    </row>
    <row r="440" spans="1:3" x14ac:dyDescent="0.25">
      <c r="A440">
        <v>36</v>
      </c>
      <c r="B440">
        <v>3</v>
      </c>
      <c r="C440">
        <v>6.0599999999999952</v>
      </c>
    </row>
    <row r="441" spans="1:3" x14ac:dyDescent="0.25">
      <c r="A441">
        <v>10</v>
      </c>
      <c r="B441">
        <v>27</v>
      </c>
      <c r="C441">
        <v>6.0500000000000096</v>
      </c>
    </row>
    <row r="442" spans="1:3" x14ac:dyDescent="0.25">
      <c r="A442">
        <v>27</v>
      </c>
      <c r="B442">
        <v>10</v>
      </c>
      <c r="C442">
        <v>6.0500000000000096</v>
      </c>
    </row>
    <row r="443" spans="1:3" x14ac:dyDescent="0.25">
      <c r="A443">
        <v>8</v>
      </c>
      <c r="B443">
        <v>27</v>
      </c>
      <c r="C443">
        <v>6.0499999999999954</v>
      </c>
    </row>
    <row r="444" spans="1:3" x14ac:dyDescent="0.25">
      <c r="A444">
        <v>27</v>
      </c>
      <c r="B444">
        <v>8</v>
      </c>
      <c r="C444">
        <v>6.0499999999999954</v>
      </c>
    </row>
    <row r="445" spans="1:3" x14ac:dyDescent="0.25">
      <c r="A445">
        <v>6</v>
      </c>
      <c r="B445">
        <v>47</v>
      </c>
      <c r="C445">
        <v>6.0300000000000047</v>
      </c>
    </row>
    <row r="446" spans="1:3" x14ac:dyDescent="0.25">
      <c r="A446">
        <v>47</v>
      </c>
      <c r="B446">
        <v>6</v>
      </c>
      <c r="C446">
        <v>6.0300000000000047</v>
      </c>
    </row>
    <row r="447" spans="1:3" x14ac:dyDescent="0.25">
      <c r="A447">
        <v>5</v>
      </c>
      <c r="B447">
        <v>48</v>
      </c>
      <c r="C447">
        <v>6.0100000000000033</v>
      </c>
    </row>
    <row r="448" spans="1:3" x14ac:dyDescent="0.25">
      <c r="A448">
        <v>48</v>
      </c>
      <c r="B448">
        <v>5</v>
      </c>
      <c r="C448">
        <v>6.0100000000000033</v>
      </c>
    </row>
    <row r="449" spans="1:3" x14ac:dyDescent="0.25">
      <c r="A449">
        <v>4</v>
      </c>
      <c r="B449">
        <v>35</v>
      </c>
      <c r="C449">
        <v>6.0099999999999989</v>
      </c>
    </row>
    <row r="450" spans="1:3" x14ac:dyDescent="0.25">
      <c r="A450">
        <v>35</v>
      </c>
      <c r="B450">
        <v>4</v>
      </c>
      <c r="C450">
        <v>6.0099999999999989</v>
      </c>
    </row>
    <row r="451" spans="1:3" x14ac:dyDescent="0.25">
      <c r="A451">
        <v>6</v>
      </c>
      <c r="B451">
        <v>12</v>
      </c>
      <c r="C451">
        <v>6.0099999999999909</v>
      </c>
    </row>
    <row r="452" spans="1:3" x14ac:dyDescent="0.25">
      <c r="A452">
        <v>12</v>
      </c>
      <c r="B452">
        <v>6</v>
      </c>
      <c r="C452">
        <v>6.0099999999999909</v>
      </c>
    </row>
    <row r="453" spans="1:3" x14ac:dyDescent="0.25">
      <c r="A453">
        <v>3</v>
      </c>
      <c r="B453">
        <v>43</v>
      </c>
      <c r="C453">
        <v>5.9999999999999982</v>
      </c>
    </row>
    <row r="454" spans="1:3" x14ac:dyDescent="0.25">
      <c r="A454">
        <v>43</v>
      </c>
      <c r="B454">
        <v>3</v>
      </c>
      <c r="C454">
        <v>5.9999999999999982</v>
      </c>
    </row>
    <row r="455" spans="1:3" x14ac:dyDescent="0.25">
      <c r="A455">
        <v>19</v>
      </c>
      <c r="B455">
        <v>24</v>
      </c>
      <c r="C455">
        <v>5.96</v>
      </c>
    </row>
    <row r="456" spans="1:3" x14ac:dyDescent="0.25">
      <c r="A456">
        <v>24</v>
      </c>
      <c r="B456">
        <v>19</v>
      </c>
      <c r="C456">
        <v>5.96</v>
      </c>
    </row>
    <row r="457" spans="1:3" x14ac:dyDescent="0.25">
      <c r="A457">
        <v>19</v>
      </c>
      <c r="B457">
        <v>35</v>
      </c>
      <c r="C457">
        <v>5.93</v>
      </c>
    </row>
    <row r="458" spans="1:3" x14ac:dyDescent="0.25">
      <c r="A458">
        <v>35</v>
      </c>
      <c r="B458">
        <v>19</v>
      </c>
      <c r="C458">
        <v>5.93</v>
      </c>
    </row>
    <row r="459" spans="1:3" x14ac:dyDescent="0.25">
      <c r="A459">
        <v>11</v>
      </c>
      <c r="B459">
        <v>18</v>
      </c>
      <c r="C459">
        <v>5.92</v>
      </c>
    </row>
    <row r="460" spans="1:3" x14ac:dyDescent="0.25">
      <c r="A460">
        <v>18</v>
      </c>
      <c r="B460">
        <v>11</v>
      </c>
      <c r="C460">
        <v>5.92</v>
      </c>
    </row>
    <row r="461" spans="1:3" x14ac:dyDescent="0.25">
      <c r="A461">
        <v>6</v>
      </c>
      <c r="B461">
        <v>41</v>
      </c>
      <c r="C461">
        <v>5.910000000000009</v>
      </c>
    </row>
    <row r="462" spans="1:3" x14ac:dyDescent="0.25">
      <c r="A462">
        <v>41</v>
      </c>
      <c r="B462">
        <v>6</v>
      </c>
      <c r="C462">
        <v>5.910000000000009</v>
      </c>
    </row>
    <row r="463" spans="1:3" x14ac:dyDescent="0.25">
      <c r="A463">
        <v>15</v>
      </c>
      <c r="B463">
        <v>29</v>
      </c>
      <c r="C463">
        <v>5.8599999999999994</v>
      </c>
    </row>
    <row r="464" spans="1:3" x14ac:dyDescent="0.25">
      <c r="A464">
        <v>29</v>
      </c>
      <c r="B464">
        <v>15</v>
      </c>
      <c r="C464">
        <v>5.8599999999999994</v>
      </c>
    </row>
    <row r="465" spans="1:3" x14ac:dyDescent="0.25">
      <c r="A465">
        <v>36</v>
      </c>
      <c r="B465">
        <v>48</v>
      </c>
      <c r="C465">
        <v>5.85</v>
      </c>
    </row>
    <row r="466" spans="1:3" x14ac:dyDescent="0.25">
      <c r="A466">
        <v>48</v>
      </c>
      <c r="B466">
        <v>36</v>
      </c>
      <c r="C466">
        <v>5.85</v>
      </c>
    </row>
    <row r="467" spans="1:3" x14ac:dyDescent="0.25">
      <c r="A467">
        <v>6</v>
      </c>
      <c r="B467">
        <v>38</v>
      </c>
      <c r="C467">
        <v>5.8200000000000074</v>
      </c>
    </row>
    <row r="468" spans="1:3" x14ac:dyDescent="0.25">
      <c r="A468">
        <v>38</v>
      </c>
      <c r="B468">
        <v>6</v>
      </c>
      <c r="C468">
        <v>5.8200000000000074</v>
      </c>
    </row>
    <row r="469" spans="1:3" x14ac:dyDescent="0.25">
      <c r="A469">
        <v>12</v>
      </c>
      <c r="B469">
        <v>45</v>
      </c>
      <c r="C469">
        <v>5.819999999999995</v>
      </c>
    </row>
    <row r="470" spans="1:3" x14ac:dyDescent="0.25">
      <c r="A470">
        <v>45</v>
      </c>
      <c r="B470">
        <v>12</v>
      </c>
      <c r="C470">
        <v>5.819999999999995</v>
      </c>
    </row>
    <row r="471" spans="1:3" x14ac:dyDescent="0.25">
      <c r="A471">
        <v>7</v>
      </c>
      <c r="B471">
        <v>33</v>
      </c>
      <c r="C471">
        <v>5.8099999999999961</v>
      </c>
    </row>
    <row r="472" spans="1:3" x14ac:dyDescent="0.25">
      <c r="A472">
        <v>33</v>
      </c>
      <c r="B472">
        <v>7</v>
      </c>
      <c r="C472">
        <v>5.8099999999999961</v>
      </c>
    </row>
    <row r="473" spans="1:3" x14ac:dyDescent="0.25">
      <c r="A473">
        <v>12</v>
      </c>
      <c r="B473">
        <v>36</v>
      </c>
      <c r="C473">
        <v>5.8000000000000043</v>
      </c>
    </row>
    <row r="474" spans="1:3" x14ac:dyDescent="0.25">
      <c r="A474">
        <v>36</v>
      </c>
      <c r="B474">
        <v>12</v>
      </c>
      <c r="C474">
        <v>5.8000000000000043</v>
      </c>
    </row>
    <row r="475" spans="1:3" x14ac:dyDescent="0.25">
      <c r="A475">
        <v>16</v>
      </c>
      <c r="B475">
        <v>37</v>
      </c>
      <c r="C475">
        <v>5.7900000000000009</v>
      </c>
    </row>
    <row r="476" spans="1:3" x14ac:dyDescent="0.25">
      <c r="A476">
        <v>37</v>
      </c>
      <c r="B476">
        <v>16</v>
      </c>
      <c r="C476">
        <v>5.7900000000000009</v>
      </c>
    </row>
    <row r="477" spans="1:3" x14ac:dyDescent="0.25">
      <c r="A477">
        <v>15</v>
      </c>
      <c r="B477">
        <v>36</v>
      </c>
      <c r="C477">
        <v>5.79</v>
      </c>
    </row>
    <row r="478" spans="1:3" x14ac:dyDescent="0.25">
      <c r="A478">
        <v>36</v>
      </c>
      <c r="B478">
        <v>15</v>
      </c>
      <c r="C478">
        <v>5.79</v>
      </c>
    </row>
    <row r="479" spans="1:3" x14ac:dyDescent="0.25">
      <c r="A479">
        <v>12</v>
      </c>
      <c r="B479">
        <v>15</v>
      </c>
      <c r="C479">
        <v>5.7799999999999923</v>
      </c>
    </row>
    <row r="480" spans="1:3" x14ac:dyDescent="0.25">
      <c r="A480">
        <v>15</v>
      </c>
      <c r="B480">
        <v>12</v>
      </c>
      <c r="C480">
        <v>5.7799999999999923</v>
      </c>
    </row>
    <row r="481" spans="1:3" x14ac:dyDescent="0.25">
      <c r="A481">
        <v>29</v>
      </c>
      <c r="B481">
        <v>40</v>
      </c>
      <c r="C481">
        <v>5.7299999999999986</v>
      </c>
    </row>
    <row r="482" spans="1:3" x14ac:dyDescent="0.25">
      <c r="A482">
        <v>40</v>
      </c>
      <c r="B482">
        <v>29</v>
      </c>
      <c r="C482">
        <v>5.7299999999999986</v>
      </c>
    </row>
    <row r="483" spans="1:3" x14ac:dyDescent="0.25">
      <c r="A483">
        <v>19</v>
      </c>
      <c r="B483">
        <v>39</v>
      </c>
      <c r="C483">
        <v>5.71</v>
      </c>
    </row>
    <row r="484" spans="1:3" x14ac:dyDescent="0.25">
      <c r="A484">
        <v>39</v>
      </c>
      <c r="B484">
        <v>19</v>
      </c>
      <c r="C484">
        <v>5.71</v>
      </c>
    </row>
    <row r="485" spans="1:3" x14ac:dyDescent="0.25">
      <c r="A485">
        <v>10</v>
      </c>
      <c r="B485">
        <v>47</v>
      </c>
      <c r="C485">
        <v>5.6900000000000013</v>
      </c>
    </row>
    <row r="486" spans="1:3" x14ac:dyDescent="0.25">
      <c r="A486">
        <v>47</v>
      </c>
      <c r="B486">
        <v>10</v>
      </c>
      <c r="C486">
        <v>5.6900000000000013</v>
      </c>
    </row>
    <row r="487" spans="1:3" x14ac:dyDescent="0.25">
      <c r="A487">
        <v>24</v>
      </c>
      <c r="B487">
        <v>29</v>
      </c>
      <c r="C487">
        <v>5.6799999999999988</v>
      </c>
    </row>
    <row r="488" spans="1:3" x14ac:dyDescent="0.25">
      <c r="A488">
        <v>29</v>
      </c>
      <c r="B488">
        <v>24</v>
      </c>
      <c r="C488">
        <v>5.6799999999999988</v>
      </c>
    </row>
    <row r="489" spans="1:3" x14ac:dyDescent="0.25">
      <c r="A489">
        <v>4</v>
      </c>
      <c r="B489">
        <v>18</v>
      </c>
      <c r="C489">
        <v>5.6799999999999979</v>
      </c>
    </row>
    <row r="490" spans="1:3" x14ac:dyDescent="0.25">
      <c r="A490">
        <v>18</v>
      </c>
      <c r="B490">
        <v>4</v>
      </c>
      <c r="C490">
        <v>5.6799999999999979</v>
      </c>
    </row>
    <row r="491" spans="1:3" x14ac:dyDescent="0.25">
      <c r="A491">
        <v>43</v>
      </c>
      <c r="B491">
        <v>50</v>
      </c>
      <c r="C491">
        <v>5.67</v>
      </c>
    </row>
    <row r="492" spans="1:3" x14ac:dyDescent="0.25">
      <c r="A492">
        <v>50</v>
      </c>
      <c r="B492">
        <v>43</v>
      </c>
      <c r="C492">
        <v>5.67</v>
      </c>
    </row>
    <row r="493" spans="1:3" x14ac:dyDescent="0.25">
      <c r="A493">
        <v>16</v>
      </c>
      <c r="B493">
        <v>27</v>
      </c>
      <c r="C493">
        <v>5.58</v>
      </c>
    </row>
    <row r="494" spans="1:3" x14ac:dyDescent="0.25">
      <c r="A494">
        <v>24</v>
      </c>
      <c r="B494">
        <v>38</v>
      </c>
      <c r="C494">
        <v>5.58</v>
      </c>
    </row>
    <row r="495" spans="1:3" x14ac:dyDescent="0.25">
      <c r="A495">
        <v>27</v>
      </c>
      <c r="B495">
        <v>16</v>
      </c>
      <c r="C495">
        <v>5.58</v>
      </c>
    </row>
    <row r="496" spans="1:3" x14ac:dyDescent="0.25">
      <c r="A496">
        <v>38</v>
      </c>
      <c r="B496">
        <v>24</v>
      </c>
      <c r="C496">
        <v>5.58</v>
      </c>
    </row>
    <row r="497" spans="1:3" x14ac:dyDescent="0.25">
      <c r="A497">
        <v>31</v>
      </c>
      <c r="B497">
        <v>43</v>
      </c>
      <c r="C497">
        <v>5.5500000000000007</v>
      </c>
    </row>
    <row r="498" spans="1:3" x14ac:dyDescent="0.25">
      <c r="A498">
        <v>43</v>
      </c>
      <c r="B498">
        <v>31</v>
      </c>
      <c r="C498">
        <v>5.5500000000000007</v>
      </c>
    </row>
    <row r="499" spans="1:3" x14ac:dyDescent="0.25">
      <c r="A499">
        <v>11</v>
      </c>
      <c r="B499">
        <v>31</v>
      </c>
      <c r="C499">
        <v>5.5499999999999918</v>
      </c>
    </row>
    <row r="500" spans="1:3" x14ac:dyDescent="0.25">
      <c r="A500">
        <v>31</v>
      </c>
      <c r="B500">
        <v>11</v>
      </c>
      <c r="C500">
        <v>5.5499999999999918</v>
      </c>
    </row>
    <row r="501" spans="1:3" x14ac:dyDescent="0.25">
      <c r="A501">
        <v>36</v>
      </c>
      <c r="B501">
        <v>40</v>
      </c>
      <c r="C501">
        <v>5.5400000000000009</v>
      </c>
    </row>
    <row r="502" spans="1:3" x14ac:dyDescent="0.25">
      <c r="A502">
        <v>40</v>
      </c>
      <c r="B502">
        <v>36</v>
      </c>
      <c r="C502">
        <v>5.5400000000000009</v>
      </c>
    </row>
    <row r="503" spans="1:3" x14ac:dyDescent="0.25">
      <c r="A503">
        <v>24</v>
      </c>
      <c r="B503">
        <v>43</v>
      </c>
      <c r="C503">
        <v>5.51</v>
      </c>
    </row>
    <row r="504" spans="1:3" x14ac:dyDescent="0.25">
      <c r="A504">
        <v>43</v>
      </c>
      <c r="B504">
        <v>24</v>
      </c>
      <c r="C504">
        <v>5.51</v>
      </c>
    </row>
    <row r="505" spans="1:3" x14ac:dyDescent="0.25">
      <c r="A505">
        <v>13</v>
      </c>
      <c r="B505">
        <v>31</v>
      </c>
      <c r="C505">
        <v>5.47</v>
      </c>
    </row>
    <row r="506" spans="1:3" x14ac:dyDescent="0.25">
      <c r="A506">
        <v>31</v>
      </c>
      <c r="B506">
        <v>13</v>
      </c>
      <c r="C506">
        <v>5.47</v>
      </c>
    </row>
    <row r="507" spans="1:3" x14ac:dyDescent="0.25">
      <c r="A507">
        <v>45</v>
      </c>
      <c r="B507">
        <v>49</v>
      </c>
      <c r="C507">
        <v>5.46</v>
      </c>
    </row>
    <row r="508" spans="1:3" x14ac:dyDescent="0.25">
      <c r="A508">
        <v>49</v>
      </c>
      <c r="B508">
        <v>45</v>
      </c>
      <c r="C508">
        <v>5.46</v>
      </c>
    </row>
    <row r="509" spans="1:3" x14ac:dyDescent="0.25">
      <c r="A509">
        <v>15</v>
      </c>
      <c r="B509">
        <v>48</v>
      </c>
      <c r="C509">
        <v>5.43</v>
      </c>
    </row>
    <row r="510" spans="1:3" x14ac:dyDescent="0.25">
      <c r="A510">
        <v>37</v>
      </c>
      <c r="B510">
        <v>45</v>
      </c>
      <c r="C510">
        <v>5.43</v>
      </c>
    </row>
    <row r="511" spans="1:3" x14ac:dyDescent="0.25">
      <c r="A511">
        <v>45</v>
      </c>
      <c r="B511">
        <v>37</v>
      </c>
      <c r="C511">
        <v>5.43</v>
      </c>
    </row>
    <row r="512" spans="1:3" x14ac:dyDescent="0.25">
      <c r="A512">
        <v>48</v>
      </c>
      <c r="B512">
        <v>15</v>
      </c>
      <c r="C512">
        <v>5.43</v>
      </c>
    </row>
    <row r="513" spans="1:3" x14ac:dyDescent="0.25">
      <c r="A513">
        <v>3</v>
      </c>
      <c r="B513">
        <v>45</v>
      </c>
      <c r="C513">
        <v>5.4299999999999944</v>
      </c>
    </row>
    <row r="514" spans="1:3" x14ac:dyDescent="0.25">
      <c r="A514">
        <v>45</v>
      </c>
      <c r="B514">
        <v>3</v>
      </c>
      <c r="C514">
        <v>5.4299999999999944</v>
      </c>
    </row>
    <row r="515" spans="1:3" x14ac:dyDescent="0.25">
      <c r="A515">
        <v>13</v>
      </c>
      <c r="B515">
        <v>45</v>
      </c>
      <c r="C515">
        <v>5.3999999999999995</v>
      </c>
    </row>
    <row r="516" spans="1:3" x14ac:dyDescent="0.25">
      <c r="A516">
        <v>45</v>
      </c>
      <c r="B516">
        <v>13</v>
      </c>
      <c r="C516">
        <v>5.3999999999999995</v>
      </c>
    </row>
    <row r="517" spans="1:3" x14ac:dyDescent="0.25">
      <c r="A517">
        <v>19</v>
      </c>
      <c r="B517">
        <v>29</v>
      </c>
      <c r="C517">
        <v>5.3999999999999986</v>
      </c>
    </row>
    <row r="518" spans="1:3" x14ac:dyDescent="0.25">
      <c r="A518">
        <v>29</v>
      </c>
      <c r="B518">
        <v>19</v>
      </c>
      <c r="C518">
        <v>5.3999999999999986</v>
      </c>
    </row>
    <row r="519" spans="1:3" x14ac:dyDescent="0.25">
      <c r="A519">
        <v>24</v>
      </c>
      <c r="B519">
        <v>41</v>
      </c>
      <c r="C519">
        <v>5.3900000000000006</v>
      </c>
    </row>
    <row r="520" spans="1:3" x14ac:dyDescent="0.25">
      <c r="A520">
        <v>41</v>
      </c>
      <c r="B520">
        <v>24</v>
      </c>
      <c r="C520">
        <v>5.3900000000000006</v>
      </c>
    </row>
    <row r="521" spans="1:3" x14ac:dyDescent="0.25">
      <c r="A521">
        <v>5</v>
      </c>
      <c r="B521">
        <v>18</v>
      </c>
      <c r="C521">
        <v>5.3800000000000008</v>
      </c>
    </row>
    <row r="522" spans="1:3" x14ac:dyDescent="0.25">
      <c r="A522">
        <v>18</v>
      </c>
      <c r="B522">
        <v>5</v>
      </c>
      <c r="C522">
        <v>5.3800000000000008</v>
      </c>
    </row>
    <row r="523" spans="1:3" x14ac:dyDescent="0.25">
      <c r="A523">
        <v>4</v>
      </c>
      <c r="B523">
        <v>41</v>
      </c>
      <c r="C523">
        <v>5.3499999999999925</v>
      </c>
    </row>
    <row r="524" spans="1:3" x14ac:dyDescent="0.25">
      <c r="A524">
        <v>41</v>
      </c>
      <c r="B524">
        <v>4</v>
      </c>
      <c r="C524">
        <v>5.3499999999999925</v>
      </c>
    </row>
    <row r="525" spans="1:3" x14ac:dyDescent="0.25">
      <c r="A525">
        <v>3</v>
      </c>
      <c r="B525">
        <v>37</v>
      </c>
      <c r="C525">
        <v>5.3099999999999934</v>
      </c>
    </row>
    <row r="526" spans="1:3" x14ac:dyDescent="0.25">
      <c r="A526">
        <v>37</v>
      </c>
      <c r="B526">
        <v>3</v>
      </c>
      <c r="C526">
        <v>5.3099999999999934</v>
      </c>
    </row>
    <row r="527" spans="1:3" x14ac:dyDescent="0.25">
      <c r="A527">
        <v>40</v>
      </c>
      <c r="B527">
        <v>45</v>
      </c>
      <c r="C527">
        <v>5.2799999999999994</v>
      </c>
    </row>
    <row r="528" spans="1:3" x14ac:dyDescent="0.25">
      <c r="A528">
        <v>45</v>
      </c>
      <c r="B528">
        <v>40</v>
      </c>
      <c r="C528">
        <v>5.2799999999999994</v>
      </c>
    </row>
    <row r="529" spans="1:3" x14ac:dyDescent="0.25">
      <c r="A529">
        <v>15</v>
      </c>
      <c r="B529">
        <v>40</v>
      </c>
      <c r="C529">
        <v>5.24</v>
      </c>
    </row>
    <row r="530" spans="1:3" x14ac:dyDescent="0.25">
      <c r="A530">
        <v>40</v>
      </c>
      <c r="B530">
        <v>15</v>
      </c>
      <c r="C530">
        <v>5.24</v>
      </c>
    </row>
    <row r="531" spans="1:3" x14ac:dyDescent="0.25">
      <c r="A531">
        <v>45</v>
      </c>
      <c r="B531">
        <v>50</v>
      </c>
      <c r="C531">
        <v>5.2299999999999986</v>
      </c>
    </row>
    <row r="532" spans="1:3" x14ac:dyDescent="0.25">
      <c r="A532">
        <v>50</v>
      </c>
      <c r="B532">
        <v>45</v>
      </c>
      <c r="C532">
        <v>5.2299999999999986</v>
      </c>
    </row>
    <row r="533" spans="1:3" x14ac:dyDescent="0.25">
      <c r="A533">
        <v>7</v>
      </c>
      <c r="B533">
        <v>27</v>
      </c>
      <c r="C533">
        <v>5.180000000000005</v>
      </c>
    </row>
    <row r="534" spans="1:3" x14ac:dyDescent="0.25">
      <c r="A534">
        <v>27</v>
      </c>
      <c r="B534">
        <v>7</v>
      </c>
      <c r="C534">
        <v>5.180000000000005</v>
      </c>
    </row>
    <row r="535" spans="1:3" x14ac:dyDescent="0.25">
      <c r="A535">
        <v>27</v>
      </c>
      <c r="B535">
        <v>37</v>
      </c>
      <c r="C535">
        <v>5.18</v>
      </c>
    </row>
    <row r="536" spans="1:3" x14ac:dyDescent="0.25">
      <c r="A536">
        <v>37</v>
      </c>
      <c r="B536">
        <v>27</v>
      </c>
      <c r="C536">
        <v>5.18</v>
      </c>
    </row>
    <row r="537" spans="1:3" x14ac:dyDescent="0.25">
      <c r="A537">
        <v>2</v>
      </c>
      <c r="B537">
        <v>45</v>
      </c>
      <c r="C537">
        <v>5.1499999999999932</v>
      </c>
    </row>
    <row r="538" spans="1:3" x14ac:dyDescent="0.25">
      <c r="A538">
        <v>45</v>
      </c>
      <c r="B538">
        <v>2</v>
      </c>
      <c r="C538">
        <v>5.1499999999999932</v>
      </c>
    </row>
    <row r="539" spans="1:3" x14ac:dyDescent="0.25">
      <c r="A539">
        <v>19</v>
      </c>
      <c r="B539">
        <v>38</v>
      </c>
      <c r="C539">
        <v>5.14</v>
      </c>
    </row>
    <row r="540" spans="1:3" x14ac:dyDescent="0.25">
      <c r="A540">
        <v>19</v>
      </c>
      <c r="B540">
        <v>43</v>
      </c>
      <c r="C540">
        <v>5.14</v>
      </c>
    </row>
    <row r="541" spans="1:3" x14ac:dyDescent="0.25">
      <c r="A541">
        <v>38</v>
      </c>
      <c r="B541">
        <v>19</v>
      </c>
      <c r="C541">
        <v>5.14</v>
      </c>
    </row>
    <row r="542" spans="1:3" x14ac:dyDescent="0.25">
      <c r="A542">
        <v>43</v>
      </c>
      <c r="B542">
        <v>19</v>
      </c>
      <c r="C542">
        <v>5.14</v>
      </c>
    </row>
    <row r="543" spans="1:3" x14ac:dyDescent="0.25">
      <c r="A543">
        <v>14</v>
      </c>
      <c r="B543">
        <v>27</v>
      </c>
      <c r="C543">
        <v>5.1199999999999957</v>
      </c>
    </row>
    <row r="544" spans="1:3" x14ac:dyDescent="0.25">
      <c r="A544">
        <v>27</v>
      </c>
      <c r="B544">
        <v>14</v>
      </c>
      <c r="C544">
        <v>5.1199999999999957</v>
      </c>
    </row>
    <row r="545" spans="1:3" x14ac:dyDescent="0.25">
      <c r="A545">
        <v>12</v>
      </c>
      <c r="B545">
        <v>49</v>
      </c>
      <c r="C545">
        <v>5.0899999999999954</v>
      </c>
    </row>
    <row r="546" spans="1:3" x14ac:dyDescent="0.25">
      <c r="A546">
        <v>49</v>
      </c>
      <c r="B546">
        <v>12</v>
      </c>
      <c r="C546">
        <v>5.0899999999999954</v>
      </c>
    </row>
    <row r="547" spans="1:3" x14ac:dyDescent="0.25">
      <c r="A547">
        <v>6</v>
      </c>
      <c r="B547">
        <v>50</v>
      </c>
      <c r="C547">
        <v>5.0500000000000043</v>
      </c>
    </row>
    <row r="548" spans="1:3" x14ac:dyDescent="0.25">
      <c r="A548">
        <v>50</v>
      </c>
      <c r="B548">
        <v>6</v>
      </c>
      <c r="C548">
        <v>5.0500000000000043</v>
      </c>
    </row>
    <row r="549" spans="1:3" x14ac:dyDescent="0.25">
      <c r="A549">
        <v>12</v>
      </c>
      <c r="B549">
        <v>43</v>
      </c>
      <c r="C549">
        <v>5.0499999999999954</v>
      </c>
    </row>
    <row r="550" spans="1:3" x14ac:dyDescent="0.25">
      <c r="A550">
        <v>43</v>
      </c>
      <c r="B550">
        <v>12</v>
      </c>
      <c r="C550">
        <v>5.0499999999999954</v>
      </c>
    </row>
    <row r="551" spans="1:3" x14ac:dyDescent="0.25">
      <c r="A551">
        <v>15</v>
      </c>
      <c r="B551">
        <v>43</v>
      </c>
      <c r="C551">
        <v>5.04</v>
      </c>
    </row>
    <row r="552" spans="1:3" x14ac:dyDescent="0.25">
      <c r="A552">
        <v>43</v>
      </c>
      <c r="B552">
        <v>15</v>
      </c>
      <c r="C552">
        <v>5.04</v>
      </c>
    </row>
    <row r="553" spans="1:3" x14ac:dyDescent="0.25">
      <c r="A553">
        <v>17</v>
      </c>
      <c r="B553">
        <v>17</v>
      </c>
      <c r="C553">
        <v>4.9800000000000004</v>
      </c>
    </row>
    <row r="554" spans="1:3" x14ac:dyDescent="0.25">
      <c r="A554">
        <v>19</v>
      </c>
      <c r="B554">
        <v>41</v>
      </c>
      <c r="C554">
        <v>4.9499999999999993</v>
      </c>
    </row>
    <row r="555" spans="1:3" x14ac:dyDescent="0.25">
      <c r="A555">
        <v>41</v>
      </c>
      <c r="B555">
        <v>19</v>
      </c>
      <c r="C555">
        <v>4.9499999999999993</v>
      </c>
    </row>
    <row r="556" spans="1:3" x14ac:dyDescent="0.25">
      <c r="A556">
        <v>30</v>
      </c>
      <c r="B556">
        <v>30</v>
      </c>
      <c r="C556">
        <v>4.9400000000000004</v>
      </c>
    </row>
    <row r="557" spans="1:3" x14ac:dyDescent="0.25">
      <c r="A557">
        <v>30</v>
      </c>
      <c r="B557">
        <v>35</v>
      </c>
      <c r="C557">
        <v>4.9400000000000004</v>
      </c>
    </row>
    <row r="558" spans="1:3" x14ac:dyDescent="0.25">
      <c r="A558">
        <v>30</v>
      </c>
      <c r="B558">
        <v>39</v>
      </c>
      <c r="C558">
        <v>4.9400000000000004</v>
      </c>
    </row>
    <row r="559" spans="1:3" x14ac:dyDescent="0.25">
      <c r="A559">
        <v>35</v>
      </c>
      <c r="B559">
        <v>30</v>
      </c>
      <c r="C559">
        <v>4.9400000000000004</v>
      </c>
    </row>
    <row r="560" spans="1:3" x14ac:dyDescent="0.25">
      <c r="A560">
        <v>39</v>
      </c>
      <c r="B560">
        <v>30</v>
      </c>
      <c r="C560">
        <v>4.9400000000000004</v>
      </c>
    </row>
    <row r="561" spans="1:3" x14ac:dyDescent="0.25">
      <c r="A561">
        <v>28</v>
      </c>
      <c r="B561">
        <v>45</v>
      </c>
      <c r="C561">
        <v>4.9399999999999995</v>
      </c>
    </row>
    <row r="562" spans="1:3" x14ac:dyDescent="0.25">
      <c r="A562">
        <v>45</v>
      </c>
      <c r="B562">
        <v>28</v>
      </c>
      <c r="C562">
        <v>4.9399999999999995</v>
      </c>
    </row>
    <row r="563" spans="1:3" x14ac:dyDescent="0.25">
      <c r="A563">
        <v>30</v>
      </c>
      <c r="B563">
        <v>38</v>
      </c>
      <c r="C563">
        <v>4.8900000000000006</v>
      </c>
    </row>
    <row r="564" spans="1:3" x14ac:dyDescent="0.25">
      <c r="A564">
        <v>38</v>
      </c>
      <c r="B564">
        <v>30</v>
      </c>
      <c r="C564">
        <v>4.8900000000000006</v>
      </c>
    </row>
    <row r="565" spans="1:3" x14ac:dyDescent="0.25">
      <c r="A565">
        <v>13</v>
      </c>
      <c r="B565">
        <v>36</v>
      </c>
      <c r="C565">
        <v>4.88</v>
      </c>
    </row>
    <row r="566" spans="1:3" x14ac:dyDescent="0.25">
      <c r="A566">
        <v>36</v>
      </c>
      <c r="B566">
        <v>13</v>
      </c>
      <c r="C566">
        <v>4.88</v>
      </c>
    </row>
    <row r="567" spans="1:3" x14ac:dyDescent="0.25">
      <c r="A567">
        <v>14</v>
      </c>
      <c r="B567">
        <v>17</v>
      </c>
      <c r="C567">
        <v>4.8799999999999937</v>
      </c>
    </row>
    <row r="568" spans="1:3" x14ac:dyDescent="0.25">
      <c r="A568">
        <v>17</v>
      </c>
      <c r="B568">
        <v>14</v>
      </c>
      <c r="C568">
        <v>4.8799999999999937</v>
      </c>
    </row>
    <row r="569" spans="1:3" x14ac:dyDescent="0.25">
      <c r="A569">
        <v>17</v>
      </c>
      <c r="B569">
        <v>33</v>
      </c>
      <c r="C569">
        <v>4.87</v>
      </c>
    </row>
    <row r="570" spans="1:3" x14ac:dyDescent="0.25">
      <c r="A570">
        <v>33</v>
      </c>
      <c r="B570">
        <v>17</v>
      </c>
      <c r="C570">
        <v>4.87</v>
      </c>
    </row>
    <row r="571" spans="1:3" x14ac:dyDescent="0.25">
      <c r="A571">
        <v>18</v>
      </c>
      <c r="B571">
        <v>31</v>
      </c>
      <c r="C571">
        <v>4.8400000000000007</v>
      </c>
    </row>
    <row r="572" spans="1:3" x14ac:dyDescent="0.25">
      <c r="A572">
        <v>31</v>
      </c>
      <c r="B572">
        <v>18</v>
      </c>
      <c r="C572">
        <v>4.8400000000000007</v>
      </c>
    </row>
    <row r="573" spans="1:3" x14ac:dyDescent="0.25">
      <c r="A573">
        <v>4</v>
      </c>
      <c r="B573">
        <v>39</v>
      </c>
      <c r="C573">
        <v>4.7899999999999903</v>
      </c>
    </row>
    <row r="574" spans="1:3" x14ac:dyDescent="0.25">
      <c r="A574">
        <v>39</v>
      </c>
      <c r="B574">
        <v>4</v>
      </c>
      <c r="C574">
        <v>4.7899999999999903</v>
      </c>
    </row>
    <row r="575" spans="1:3" x14ac:dyDescent="0.25">
      <c r="A575">
        <v>30</v>
      </c>
      <c r="B575">
        <v>41</v>
      </c>
      <c r="C575">
        <v>4.78</v>
      </c>
    </row>
    <row r="576" spans="1:3" x14ac:dyDescent="0.25">
      <c r="A576">
        <v>41</v>
      </c>
      <c r="B576">
        <v>30</v>
      </c>
      <c r="C576">
        <v>4.78</v>
      </c>
    </row>
    <row r="577" spans="1:3" x14ac:dyDescent="0.25">
      <c r="A577">
        <v>24</v>
      </c>
      <c r="B577">
        <v>30</v>
      </c>
      <c r="C577">
        <v>4.7700000000000005</v>
      </c>
    </row>
    <row r="578" spans="1:3" x14ac:dyDescent="0.25">
      <c r="A578">
        <v>30</v>
      </c>
      <c r="B578">
        <v>24</v>
      </c>
      <c r="C578">
        <v>4.7700000000000005</v>
      </c>
    </row>
    <row r="579" spans="1:3" x14ac:dyDescent="0.25">
      <c r="A579">
        <v>4</v>
      </c>
      <c r="B579">
        <v>38</v>
      </c>
      <c r="C579">
        <v>4.75</v>
      </c>
    </row>
    <row r="580" spans="1:3" x14ac:dyDescent="0.25">
      <c r="A580">
        <v>38</v>
      </c>
      <c r="B580">
        <v>4</v>
      </c>
      <c r="C580">
        <v>4.75</v>
      </c>
    </row>
    <row r="581" spans="1:3" x14ac:dyDescent="0.25">
      <c r="A581">
        <v>45</v>
      </c>
      <c r="B581">
        <v>47</v>
      </c>
      <c r="C581">
        <v>4.74</v>
      </c>
    </row>
    <row r="582" spans="1:3" x14ac:dyDescent="0.25">
      <c r="A582">
        <v>47</v>
      </c>
      <c r="B582">
        <v>45</v>
      </c>
      <c r="C582">
        <v>4.74</v>
      </c>
    </row>
    <row r="583" spans="1:3" x14ac:dyDescent="0.25">
      <c r="A583">
        <v>18</v>
      </c>
      <c r="B583">
        <v>36</v>
      </c>
      <c r="C583">
        <v>4.7300000000000004</v>
      </c>
    </row>
    <row r="584" spans="1:3" x14ac:dyDescent="0.25">
      <c r="A584">
        <v>36</v>
      </c>
      <c r="B584">
        <v>18</v>
      </c>
      <c r="C584">
        <v>4.7300000000000004</v>
      </c>
    </row>
    <row r="585" spans="1:3" x14ac:dyDescent="0.25">
      <c r="A585">
        <v>2</v>
      </c>
      <c r="B585">
        <v>37</v>
      </c>
      <c r="C585">
        <v>4.7099999999999991</v>
      </c>
    </row>
    <row r="586" spans="1:3" x14ac:dyDescent="0.25">
      <c r="A586">
        <v>37</v>
      </c>
      <c r="B586">
        <v>2</v>
      </c>
      <c r="C586">
        <v>4.7099999999999991</v>
      </c>
    </row>
    <row r="587" spans="1:3" x14ac:dyDescent="0.25">
      <c r="A587">
        <v>37</v>
      </c>
      <c r="B587">
        <v>50</v>
      </c>
      <c r="C587">
        <v>4.6999999999999975</v>
      </c>
    </row>
    <row r="588" spans="1:3" x14ac:dyDescent="0.25">
      <c r="A588">
        <v>50</v>
      </c>
      <c r="B588">
        <v>37</v>
      </c>
      <c r="C588">
        <v>4.6999999999999975</v>
      </c>
    </row>
    <row r="589" spans="1:3" x14ac:dyDescent="0.25">
      <c r="A589">
        <v>8</v>
      </c>
      <c r="B589">
        <v>45</v>
      </c>
      <c r="C589">
        <v>4.6899999999999995</v>
      </c>
    </row>
    <row r="590" spans="1:3" x14ac:dyDescent="0.25">
      <c r="A590">
        <v>29</v>
      </c>
      <c r="B590">
        <v>48</v>
      </c>
      <c r="C590">
        <v>4.6899999999999995</v>
      </c>
    </row>
    <row r="591" spans="1:3" x14ac:dyDescent="0.25">
      <c r="A591">
        <v>45</v>
      </c>
      <c r="B591">
        <v>8</v>
      </c>
      <c r="C591">
        <v>4.6899999999999995</v>
      </c>
    </row>
    <row r="592" spans="1:3" x14ac:dyDescent="0.25">
      <c r="A592">
        <v>48</v>
      </c>
      <c r="B592">
        <v>29</v>
      </c>
      <c r="C592">
        <v>4.6899999999999995</v>
      </c>
    </row>
    <row r="593" spans="1:3" x14ac:dyDescent="0.25">
      <c r="A593">
        <v>14</v>
      </c>
      <c r="B593">
        <v>35</v>
      </c>
      <c r="C593">
        <v>4.6899999999999986</v>
      </c>
    </row>
    <row r="594" spans="1:3" x14ac:dyDescent="0.25">
      <c r="A594">
        <v>35</v>
      </c>
      <c r="B594">
        <v>14</v>
      </c>
      <c r="C594">
        <v>4.6899999999999986</v>
      </c>
    </row>
    <row r="595" spans="1:3" x14ac:dyDescent="0.25">
      <c r="A595">
        <v>29</v>
      </c>
      <c r="B595">
        <v>30</v>
      </c>
      <c r="C595">
        <v>4.68</v>
      </c>
    </row>
    <row r="596" spans="1:3" x14ac:dyDescent="0.25">
      <c r="A596">
        <v>29</v>
      </c>
      <c r="B596">
        <v>36</v>
      </c>
      <c r="C596">
        <v>4.68</v>
      </c>
    </row>
    <row r="597" spans="1:3" x14ac:dyDescent="0.25">
      <c r="A597">
        <v>30</v>
      </c>
      <c r="B597">
        <v>29</v>
      </c>
      <c r="C597">
        <v>4.68</v>
      </c>
    </row>
    <row r="598" spans="1:3" x14ac:dyDescent="0.25">
      <c r="A598">
        <v>30</v>
      </c>
      <c r="B598">
        <v>43</v>
      </c>
      <c r="C598">
        <v>4.68</v>
      </c>
    </row>
    <row r="599" spans="1:3" x14ac:dyDescent="0.25">
      <c r="A599">
        <v>36</v>
      </c>
      <c r="B599">
        <v>29</v>
      </c>
      <c r="C599">
        <v>4.68</v>
      </c>
    </row>
    <row r="600" spans="1:3" x14ac:dyDescent="0.25">
      <c r="A600">
        <v>43</v>
      </c>
      <c r="B600">
        <v>30</v>
      </c>
      <c r="C600">
        <v>4.68</v>
      </c>
    </row>
    <row r="601" spans="1:3" x14ac:dyDescent="0.25">
      <c r="A601">
        <v>10</v>
      </c>
      <c r="B601">
        <v>45</v>
      </c>
      <c r="C601">
        <v>4.6700000000000035</v>
      </c>
    </row>
    <row r="602" spans="1:3" x14ac:dyDescent="0.25">
      <c r="A602">
        <v>45</v>
      </c>
      <c r="B602">
        <v>10</v>
      </c>
      <c r="C602">
        <v>4.6700000000000035</v>
      </c>
    </row>
    <row r="603" spans="1:3" x14ac:dyDescent="0.25">
      <c r="A603">
        <v>6</v>
      </c>
      <c r="B603">
        <v>17</v>
      </c>
      <c r="C603">
        <v>4.5999999999999996</v>
      </c>
    </row>
    <row r="604" spans="1:3" x14ac:dyDescent="0.25">
      <c r="A604">
        <v>17</v>
      </c>
      <c r="B604">
        <v>6</v>
      </c>
      <c r="C604">
        <v>4.5999999999999996</v>
      </c>
    </row>
    <row r="605" spans="1:3" x14ac:dyDescent="0.25">
      <c r="A605">
        <v>14</v>
      </c>
      <c r="B605">
        <v>19</v>
      </c>
      <c r="C605">
        <v>4.5499999999999989</v>
      </c>
    </row>
    <row r="606" spans="1:3" x14ac:dyDescent="0.25">
      <c r="A606">
        <v>19</v>
      </c>
      <c r="B606">
        <v>14</v>
      </c>
      <c r="C606">
        <v>4.5499999999999989</v>
      </c>
    </row>
    <row r="607" spans="1:3" x14ac:dyDescent="0.25">
      <c r="A607">
        <v>27</v>
      </c>
      <c r="B607">
        <v>49</v>
      </c>
      <c r="C607">
        <v>4.51</v>
      </c>
    </row>
    <row r="608" spans="1:3" x14ac:dyDescent="0.25">
      <c r="A608">
        <v>49</v>
      </c>
      <c r="B608">
        <v>27</v>
      </c>
      <c r="C608">
        <v>4.51</v>
      </c>
    </row>
    <row r="609" spans="1:3" x14ac:dyDescent="0.25">
      <c r="A609">
        <v>11</v>
      </c>
      <c r="B609">
        <v>36</v>
      </c>
      <c r="C609">
        <v>4.509999999999998</v>
      </c>
    </row>
    <row r="610" spans="1:3" x14ac:dyDescent="0.25">
      <c r="A610">
        <v>36</v>
      </c>
      <c r="B610">
        <v>11</v>
      </c>
      <c r="C610">
        <v>4.509999999999998</v>
      </c>
    </row>
    <row r="611" spans="1:3" x14ac:dyDescent="0.25">
      <c r="A611">
        <v>19</v>
      </c>
      <c r="B611">
        <v>30</v>
      </c>
      <c r="C611">
        <v>4.49</v>
      </c>
    </row>
    <row r="612" spans="1:3" x14ac:dyDescent="0.25">
      <c r="A612">
        <v>27</v>
      </c>
      <c r="B612">
        <v>33</v>
      </c>
      <c r="C612">
        <v>4.49</v>
      </c>
    </row>
    <row r="613" spans="1:3" x14ac:dyDescent="0.25">
      <c r="A613">
        <v>30</v>
      </c>
      <c r="B613">
        <v>19</v>
      </c>
      <c r="C613">
        <v>4.49</v>
      </c>
    </row>
    <row r="614" spans="1:3" x14ac:dyDescent="0.25">
      <c r="A614">
        <v>33</v>
      </c>
      <c r="B614">
        <v>27</v>
      </c>
      <c r="C614">
        <v>4.49</v>
      </c>
    </row>
    <row r="615" spans="1:3" x14ac:dyDescent="0.25">
      <c r="A615">
        <v>3</v>
      </c>
      <c r="B615">
        <v>49</v>
      </c>
      <c r="C615">
        <v>4.479999999999996</v>
      </c>
    </row>
    <row r="616" spans="1:3" x14ac:dyDescent="0.25">
      <c r="A616">
        <v>49</v>
      </c>
      <c r="B616">
        <v>3</v>
      </c>
      <c r="C616">
        <v>4.479999999999996</v>
      </c>
    </row>
    <row r="617" spans="1:3" x14ac:dyDescent="0.25">
      <c r="A617">
        <v>5</v>
      </c>
      <c r="B617">
        <v>31</v>
      </c>
      <c r="C617">
        <v>4.4700000000000006</v>
      </c>
    </row>
    <row r="618" spans="1:3" x14ac:dyDescent="0.25">
      <c r="A618">
        <v>31</v>
      </c>
      <c r="B618">
        <v>5</v>
      </c>
      <c r="C618">
        <v>4.4700000000000006</v>
      </c>
    </row>
    <row r="619" spans="1:3" x14ac:dyDescent="0.25">
      <c r="A619">
        <v>6</v>
      </c>
      <c r="B619">
        <v>30</v>
      </c>
      <c r="C619">
        <v>4.4600000000000097</v>
      </c>
    </row>
    <row r="620" spans="1:3" x14ac:dyDescent="0.25">
      <c r="A620">
        <v>30</v>
      </c>
      <c r="B620">
        <v>6</v>
      </c>
      <c r="C620">
        <v>4.4600000000000097</v>
      </c>
    </row>
    <row r="621" spans="1:3" x14ac:dyDescent="0.25">
      <c r="A621">
        <v>5</v>
      </c>
      <c r="B621">
        <v>16</v>
      </c>
      <c r="C621">
        <v>4.4300000000000033</v>
      </c>
    </row>
    <row r="622" spans="1:3" x14ac:dyDescent="0.25">
      <c r="A622">
        <v>16</v>
      </c>
      <c r="B622">
        <v>5</v>
      </c>
      <c r="C622">
        <v>4.4300000000000033</v>
      </c>
    </row>
    <row r="623" spans="1:3" x14ac:dyDescent="0.25">
      <c r="A623">
        <v>16</v>
      </c>
      <c r="B623">
        <v>49</v>
      </c>
      <c r="C623">
        <v>4.4300000000000006</v>
      </c>
    </row>
    <row r="624" spans="1:3" x14ac:dyDescent="0.25">
      <c r="A624">
        <v>49</v>
      </c>
      <c r="B624">
        <v>16</v>
      </c>
      <c r="C624">
        <v>4.4300000000000006</v>
      </c>
    </row>
    <row r="625" spans="1:3" x14ac:dyDescent="0.25">
      <c r="A625">
        <v>13</v>
      </c>
      <c r="B625">
        <v>15</v>
      </c>
      <c r="C625">
        <v>4.37</v>
      </c>
    </row>
    <row r="626" spans="1:3" x14ac:dyDescent="0.25">
      <c r="A626">
        <v>15</v>
      </c>
      <c r="B626">
        <v>13</v>
      </c>
      <c r="C626">
        <v>4.37</v>
      </c>
    </row>
    <row r="627" spans="1:3" x14ac:dyDescent="0.25">
      <c r="A627">
        <v>14</v>
      </c>
      <c r="B627">
        <v>49</v>
      </c>
      <c r="C627">
        <v>4.3399999999999954</v>
      </c>
    </row>
    <row r="628" spans="1:3" x14ac:dyDescent="0.25">
      <c r="A628">
        <v>49</v>
      </c>
      <c r="B628">
        <v>14</v>
      </c>
      <c r="C628">
        <v>4.3399999999999954</v>
      </c>
    </row>
    <row r="629" spans="1:3" x14ac:dyDescent="0.25">
      <c r="A629">
        <v>8</v>
      </c>
      <c r="B629">
        <v>40</v>
      </c>
      <c r="C629">
        <v>4.2900000000000098</v>
      </c>
    </row>
    <row r="630" spans="1:3" x14ac:dyDescent="0.25">
      <c r="A630">
        <v>40</v>
      </c>
      <c r="B630">
        <v>8</v>
      </c>
      <c r="C630">
        <v>4.2900000000000098</v>
      </c>
    </row>
    <row r="631" spans="1:3" x14ac:dyDescent="0.25">
      <c r="A631">
        <v>4</v>
      </c>
      <c r="B631">
        <v>8</v>
      </c>
      <c r="C631">
        <v>4.289999999999992</v>
      </c>
    </row>
    <row r="632" spans="1:3" x14ac:dyDescent="0.25">
      <c r="A632">
        <v>8</v>
      </c>
      <c r="B632">
        <v>4</v>
      </c>
      <c r="C632">
        <v>4.289999999999992</v>
      </c>
    </row>
    <row r="633" spans="1:3" x14ac:dyDescent="0.25">
      <c r="A633">
        <v>46</v>
      </c>
      <c r="B633">
        <v>46</v>
      </c>
      <c r="C633">
        <v>4.26</v>
      </c>
    </row>
    <row r="634" spans="1:3" x14ac:dyDescent="0.25">
      <c r="A634">
        <v>6</v>
      </c>
      <c r="B634">
        <v>46</v>
      </c>
      <c r="C634">
        <v>4.2300000000000084</v>
      </c>
    </row>
    <row r="635" spans="1:3" x14ac:dyDescent="0.25">
      <c r="A635">
        <v>46</v>
      </c>
      <c r="B635">
        <v>6</v>
      </c>
      <c r="C635">
        <v>4.2300000000000084</v>
      </c>
    </row>
    <row r="636" spans="1:3" x14ac:dyDescent="0.25">
      <c r="A636">
        <v>37</v>
      </c>
      <c r="B636">
        <v>40</v>
      </c>
      <c r="C636">
        <v>4.2300000000000004</v>
      </c>
    </row>
    <row r="637" spans="1:3" x14ac:dyDescent="0.25">
      <c r="A637">
        <v>40</v>
      </c>
      <c r="B637">
        <v>37</v>
      </c>
      <c r="C637">
        <v>4.2300000000000004</v>
      </c>
    </row>
    <row r="638" spans="1:3" x14ac:dyDescent="0.25">
      <c r="A638">
        <v>28</v>
      </c>
      <c r="B638">
        <v>37</v>
      </c>
      <c r="C638">
        <v>4.2299999999999986</v>
      </c>
    </row>
    <row r="639" spans="1:3" x14ac:dyDescent="0.25">
      <c r="A639">
        <v>37</v>
      </c>
      <c r="B639">
        <v>28</v>
      </c>
      <c r="C639">
        <v>4.2299999999999986</v>
      </c>
    </row>
    <row r="640" spans="1:3" x14ac:dyDescent="0.25">
      <c r="A640">
        <v>33</v>
      </c>
      <c r="B640">
        <v>37</v>
      </c>
      <c r="C640">
        <v>4.21</v>
      </c>
    </row>
    <row r="641" spans="1:3" x14ac:dyDescent="0.25">
      <c r="A641">
        <v>37</v>
      </c>
      <c r="B641">
        <v>33</v>
      </c>
      <c r="C641">
        <v>4.21</v>
      </c>
    </row>
    <row r="642" spans="1:3" x14ac:dyDescent="0.25">
      <c r="A642">
        <v>10</v>
      </c>
      <c r="B642">
        <v>40</v>
      </c>
      <c r="C642">
        <v>4.1700000000000053</v>
      </c>
    </row>
    <row r="643" spans="1:3" x14ac:dyDescent="0.25">
      <c r="A643">
        <v>40</v>
      </c>
      <c r="B643">
        <v>10</v>
      </c>
      <c r="C643">
        <v>4.1700000000000053</v>
      </c>
    </row>
    <row r="644" spans="1:3" x14ac:dyDescent="0.25">
      <c r="A644">
        <v>15</v>
      </c>
      <c r="B644">
        <v>18</v>
      </c>
      <c r="C644">
        <v>4.16</v>
      </c>
    </row>
    <row r="645" spans="1:3" x14ac:dyDescent="0.25">
      <c r="A645">
        <v>18</v>
      </c>
      <c r="B645">
        <v>15</v>
      </c>
      <c r="C645">
        <v>4.16</v>
      </c>
    </row>
    <row r="646" spans="1:3" x14ac:dyDescent="0.25">
      <c r="A646">
        <v>13</v>
      </c>
      <c r="B646">
        <v>37</v>
      </c>
      <c r="C646">
        <v>4.1500000000000004</v>
      </c>
    </row>
    <row r="647" spans="1:3" x14ac:dyDescent="0.25">
      <c r="A647">
        <v>37</v>
      </c>
      <c r="B647">
        <v>13</v>
      </c>
      <c r="C647">
        <v>4.1500000000000004</v>
      </c>
    </row>
    <row r="648" spans="1:3" x14ac:dyDescent="0.25">
      <c r="A648">
        <v>49</v>
      </c>
      <c r="B648">
        <v>50</v>
      </c>
      <c r="C648">
        <v>4.12</v>
      </c>
    </row>
    <row r="649" spans="1:3" x14ac:dyDescent="0.25">
      <c r="A649">
        <v>50</v>
      </c>
      <c r="B649">
        <v>49</v>
      </c>
      <c r="C649">
        <v>4.12</v>
      </c>
    </row>
    <row r="650" spans="1:3" x14ac:dyDescent="0.25">
      <c r="A650">
        <v>11</v>
      </c>
      <c r="B650">
        <v>15</v>
      </c>
      <c r="C650">
        <v>4.1100000000000048</v>
      </c>
    </row>
    <row r="651" spans="1:3" x14ac:dyDescent="0.25">
      <c r="A651">
        <v>15</v>
      </c>
      <c r="B651">
        <v>11</v>
      </c>
      <c r="C651">
        <v>4.1100000000000048</v>
      </c>
    </row>
    <row r="652" spans="1:3" x14ac:dyDescent="0.25">
      <c r="A652">
        <v>7</v>
      </c>
      <c r="B652">
        <v>48</v>
      </c>
      <c r="C652">
        <v>4.0899999999999945</v>
      </c>
    </row>
    <row r="653" spans="1:3" x14ac:dyDescent="0.25">
      <c r="A653">
        <v>48</v>
      </c>
      <c r="B653">
        <v>7</v>
      </c>
      <c r="C653">
        <v>4.0899999999999945</v>
      </c>
    </row>
    <row r="654" spans="1:3" x14ac:dyDescent="0.25">
      <c r="A654">
        <v>2</v>
      </c>
      <c r="B654">
        <v>49</v>
      </c>
      <c r="C654">
        <v>4.0699999999999994</v>
      </c>
    </row>
    <row r="655" spans="1:3" x14ac:dyDescent="0.25">
      <c r="A655">
        <v>49</v>
      </c>
      <c r="B655">
        <v>2</v>
      </c>
      <c r="C655">
        <v>4.0699999999999994</v>
      </c>
    </row>
    <row r="656" spans="1:3" x14ac:dyDescent="0.25">
      <c r="A656">
        <v>25</v>
      </c>
      <c r="B656">
        <v>25</v>
      </c>
      <c r="C656">
        <v>4.0599999999999996</v>
      </c>
    </row>
    <row r="657" spans="1:3" x14ac:dyDescent="0.25">
      <c r="A657">
        <v>17</v>
      </c>
      <c r="B657">
        <v>25</v>
      </c>
      <c r="C657">
        <v>4.04</v>
      </c>
    </row>
    <row r="658" spans="1:3" x14ac:dyDescent="0.25">
      <c r="A658">
        <v>25</v>
      </c>
      <c r="B658">
        <v>17</v>
      </c>
      <c r="C658">
        <v>4.04</v>
      </c>
    </row>
    <row r="659" spans="1:3" x14ac:dyDescent="0.25">
      <c r="A659">
        <v>13</v>
      </c>
      <c r="B659">
        <v>49</v>
      </c>
      <c r="C659">
        <v>4.0299999999999994</v>
      </c>
    </row>
    <row r="660" spans="1:3" x14ac:dyDescent="0.25">
      <c r="A660">
        <v>25</v>
      </c>
      <c r="B660">
        <v>33</v>
      </c>
      <c r="C660">
        <v>4.0299999999999994</v>
      </c>
    </row>
    <row r="661" spans="1:3" x14ac:dyDescent="0.25">
      <c r="A661">
        <v>33</v>
      </c>
      <c r="B661">
        <v>25</v>
      </c>
      <c r="C661">
        <v>4.0299999999999994</v>
      </c>
    </row>
    <row r="662" spans="1:3" x14ac:dyDescent="0.25">
      <c r="A662">
        <v>49</v>
      </c>
      <c r="B662">
        <v>13</v>
      </c>
      <c r="C662">
        <v>4.0299999999999994</v>
      </c>
    </row>
    <row r="663" spans="1:3" x14ac:dyDescent="0.25">
      <c r="A663">
        <v>19</v>
      </c>
      <c r="B663">
        <v>33</v>
      </c>
      <c r="C663">
        <v>4.0199999999999996</v>
      </c>
    </row>
    <row r="664" spans="1:3" x14ac:dyDescent="0.25">
      <c r="A664">
        <v>33</v>
      </c>
      <c r="B664">
        <v>19</v>
      </c>
      <c r="C664">
        <v>4.0199999999999996</v>
      </c>
    </row>
    <row r="665" spans="1:3" x14ac:dyDescent="0.25">
      <c r="A665">
        <v>14</v>
      </c>
      <c r="B665">
        <v>25</v>
      </c>
      <c r="C665">
        <v>4.0199999999999942</v>
      </c>
    </row>
    <row r="666" spans="1:3" x14ac:dyDescent="0.25">
      <c r="A666">
        <v>25</v>
      </c>
      <c r="B666">
        <v>14</v>
      </c>
      <c r="C666">
        <v>4.0199999999999942</v>
      </c>
    </row>
    <row r="667" spans="1:3" x14ac:dyDescent="0.25">
      <c r="A667">
        <v>16</v>
      </c>
      <c r="B667">
        <v>17</v>
      </c>
      <c r="C667">
        <v>4.0100000000000007</v>
      </c>
    </row>
    <row r="668" spans="1:3" x14ac:dyDescent="0.25">
      <c r="A668">
        <v>17</v>
      </c>
      <c r="B668">
        <v>16</v>
      </c>
      <c r="C668">
        <v>4.0100000000000007</v>
      </c>
    </row>
    <row r="669" spans="1:3" x14ac:dyDescent="0.25">
      <c r="A669">
        <v>42</v>
      </c>
      <c r="B669">
        <v>42</v>
      </c>
      <c r="C669">
        <v>4</v>
      </c>
    </row>
    <row r="670" spans="1:3" x14ac:dyDescent="0.25">
      <c r="A670">
        <v>14</v>
      </c>
      <c r="B670">
        <v>24</v>
      </c>
      <c r="C670">
        <v>3.9999999999999973</v>
      </c>
    </row>
    <row r="671" spans="1:3" x14ac:dyDescent="0.25">
      <c r="A671">
        <v>24</v>
      </c>
      <c r="B671">
        <v>14</v>
      </c>
      <c r="C671">
        <v>3.9999999999999973</v>
      </c>
    </row>
    <row r="672" spans="1:3" x14ac:dyDescent="0.25">
      <c r="A672">
        <v>40</v>
      </c>
      <c r="B672">
        <v>49</v>
      </c>
      <c r="C672">
        <v>3.9800000000000004</v>
      </c>
    </row>
    <row r="673" spans="1:3" x14ac:dyDescent="0.25">
      <c r="A673">
        <v>49</v>
      </c>
      <c r="B673">
        <v>40</v>
      </c>
      <c r="C673">
        <v>3.9800000000000004</v>
      </c>
    </row>
    <row r="674" spans="1:3" x14ac:dyDescent="0.25">
      <c r="A674">
        <v>7</v>
      </c>
      <c r="B674">
        <v>18</v>
      </c>
      <c r="C674">
        <v>3.9799999999999951</v>
      </c>
    </row>
    <row r="675" spans="1:3" x14ac:dyDescent="0.25">
      <c r="A675">
        <v>18</v>
      </c>
      <c r="B675">
        <v>7</v>
      </c>
      <c r="C675">
        <v>3.9799999999999951</v>
      </c>
    </row>
    <row r="676" spans="1:3" x14ac:dyDescent="0.25">
      <c r="A676">
        <v>18</v>
      </c>
      <c r="B676">
        <v>45</v>
      </c>
      <c r="C676">
        <v>3.95</v>
      </c>
    </row>
    <row r="677" spans="1:3" x14ac:dyDescent="0.25">
      <c r="A677">
        <v>45</v>
      </c>
      <c r="B677">
        <v>18</v>
      </c>
      <c r="C677">
        <v>3.95</v>
      </c>
    </row>
    <row r="678" spans="1:3" x14ac:dyDescent="0.25">
      <c r="A678">
        <v>44</v>
      </c>
      <c r="B678">
        <v>44</v>
      </c>
      <c r="C678">
        <v>3.94</v>
      </c>
    </row>
    <row r="679" spans="1:3" x14ac:dyDescent="0.25">
      <c r="A679">
        <v>6</v>
      </c>
      <c r="B679">
        <v>44</v>
      </c>
      <c r="C679">
        <v>3.9300000000000077</v>
      </c>
    </row>
    <row r="680" spans="1:3" x14ac:dyDescent="0.25">
      <c r="A680">
        <v>44</v>
      </c>
      <c r="B680">
        <v>6</v>
      </c>
      <c r="C680">
        <v>3.9300000000000077</v>
      </c>
    </row>
    <row r="681" spans="1:3" x14ac:dyDescent="0.25">
      <c r="A681">
        <v>31</v>
      </c>
      <c r="B681">
        <v>41</v>
      </c>
      <c r="C681">
        <v>3.93</v>
      </c>
    </row>
    <row r="682" spans="1:3" x14ac:dyDescent="0.25">
      <c r="A682">
        <v>41</v>
      </c>
      <c r="B682">
        <v>31</v>
      </c>
      <c r="C682">
        <v>3.93</v>
      </c>
    </row>
    <row r="683" spans="1:3" x14ac:dyDescent="0.25">
      <c r="A683">
        <v>14</v>
      </c>
      <c r="B683">
        <v>39</v>
      </c>
      <c r="C683">
        <v>3.92</v>
      </c>
    </row>
    <row r="684" spans="1:3" x14ac:dyDescent="0.25">
      <c r="A684">
        <v>14</v>
      </c>
      <c r="B684">
        <v>43</v>
      </c>
      <c r="C684">
        <v>3.92</v>
      </c>
    </row>
    <row r="685" spans="1:3" x14ac:dyDescent="0.25">
      <c r="A685">
        <v>39</v>
      </c>
      <c r="B685">
        <v>14</v>
      </c>
      <c r="C685">
        <v>3.92</v>
      </c>
    </row>
    <row r="686" spans="1:3" x14ac:dyDescent="0.25">
      <c r="A686">
        <v>43</v>
      </c>
      <c r="B686">
        <v>14</v>
      </c>
      <c r="C686">
        <v>3.92</v>
      </c>
    </row>
    <row r="687" spans="1:3" x14ac:dyDescent="0.25">
      <c r="A687">
        <v>36</v>
      </c>
      <c r="B687">
        <v>43</v>
      </c>
      <c r="C687">
        <v>3.9099999999999997</v>
      </c>
    </row>
    <row r="688" spans="1:3" x14ac:dyDescent="0.25">
      <c r="A688">
        <v>43</v>
      </c>
      <c r="B688">
        <v>36</v>
      </c>
      <c r="C688">
        <v>3.9099999999999997</v>
      </c>
    </row>
    <row r="689" spans="1:3" x14ac:dyDescent="0.25">
      <c r="A689">
        <v>29</v>
      </c>
      <c r="B689">
        <v>42</v>
      </c>
      <c r="C689">
        <v>3.8899999999999988</v>
      </c>
    </row>
    <row r="690" spans="1:3" x14ac:dyDescent="0.25">
      <c r="A690">
        <v>42</v>
      </c>
      <c r="B690">
        <v>29</v>
      </c>
      <c r="C690">
        <v>3.8899999999999988</v>
      </c>
    </row>
    <row r="691" spans="1:3" x14ac:dyDescent="0.25">
      <c r="A691">
        <v>5</v>
      </c>
      <c r="B691">
        <v>27</v>
      </c>
      <c r="C691">
        <v>3.8700000000000032</v>
      </c>
    </row>
    <row r="692" spans="1:3" x14ac:dyDescent="0.25">
      <c r="A692">
        <v>27</v>
      </c>
      <c r="B692">
        <v>5</v>
      </c>
      <c r="C692">
        <v>3.8700000000000032</v>
      </c>
    </row>
    <row r="693" spans="1:3" x14ac:dyDescent="0.25">
      <c r="A693">
        <v>37</v>
      </c>
      <c r="B693">
        <v>47</v>
      </c>
      <c r="C693">
        <v>3.8200000000000021</v>
      </c>
    </row>
    <row r="694" spans="1:3" x14ac:dyDescent="0.25">
      <c r="A694">
        <v>47</v>
      </c>
      <c r="B694">
        <v>37</v>
      </c>
      <c r="C694">
        <v>3.8200000000000021</v>
      </c>
    </row>
    <row r="695" spans="1:3" x14ac:dyDescent="0.25">
      <c r="A695">
        <v>15</v>
      </c>
      <c r="B695">
        <v>41</v>
      </c>
      <c r="C695">
        <v>3.8200000000000003</v>
      </c>
    </row>
    <row r="696" spans="1:3" x14ac:dyDescent="0.25">
      <c r="A696">
        <v>41</v>
      </c>
      <c r="B696">
        <v>15</v>
      </c>
      <c r="C696">
        <v>3.8200000000000003</v>
      </c>
    </row>
    <row r="697" spans="1:3" x14ac:dyDescent="0.25">
      <c r="A697">
        <v>19</v>
      </c>
      <c r="B697">
        <v>44</v>
      </c>
      <c r="C697">
        <v>3.82</v>
      </c>
    </row>
    <row r="698" spans="1:3" x14ac:dyDescent="0.25">
      <c r="A698">
        <v>44</v>
      </c>
      <c r="B698">
        <v>19</v>
      </c>
      <c r="C698">
        <v>3.82</v>
      </c>
    </row>
    <row r="699" spans="1:3" x14ac:dyDescent="0.25">
      <c r="A699">
        <v>42</v>
      </c>
      <c r="B699">
        <v>43</v>
      </c>
      <c r="C699">
        <v>3.78</v>
      </c>
    </row>
    <row r="700" spans="1:3" x14ac:dyDescent="0.25">
      <c r="A700">
        <v>43</v>
      </c>
      <c r="B700">
        <v>42</v>
      </c>
      <c r="C700">
        <v>3.78</v>
      </c>
    </row>
    <row r="701" spans="1:3" x14ac:dyDescent="0.25">
      <c r="A701">
        <v>14</v>
      </c>
      <c r="B701">
        <v>46</v>
      </c>
      <c r="C701">
        <v>3.7799999999999985</v>
      </c>
    </row>
    <row r="702" spans="1:3" x14ac:dyDescent="0.25">
      <c r="A702">
        <v>46</v>
      </c>
      <c r="B702">
        <v>14</v>
      </c>
      <c r="C702">
        <v>3.7799999999999985</v>
      </c>
    </row>
    <row r="703" spans="1:3" x14ac:dyDescent="0.25">
      <c r="A703">
        <v>31</v>
      </c>
      <c r="B703">
        <v>35</v>
      </c>
      <c r="C703">
        <v>3.7600000000000007</v>
      </c>
    </row>
    <row r="704" spans="1:3" x14ac:dyDescent="0.25">
      <c r="A704">
        <v>35</v>
      </c>
      <c r="B704">
        <v>31</v>
      </c>
      <c r="C704">
        <v>3.7600000000000007</v>
      </c>
    </row>
    <row r="705" spans="1:3" x14ac:dyDescent="0.25">
      <c r="A705">
        <v>5</v>
      </c>
      <c r="B705">
        <v>36</v>
      </c>
      <c r="C705">
        <v>3.7599999999999985</v>
      </c>
    </row>
    <row r="706" spans="1:3" x14ac:dyDescent="0.25">
      <c r="A706">
        <v>36</v>
      </c>
      <c r="B706">
        <v>5</v>
      </c>
      <c r="C706">
        <v>3.7599999999999985</v>
      </c>
    </row>
    <row r="707" spans="1:3" x14ac:dyDescent="0.25">
      <c r="A707">
        <v>4</v>
      </c>
      <c r="B707">
        <v>42</v>
      </c>
      <c r="C707">
        <v>3.75</v>
      </c>
    </row>
    <row r="708" spans="1:3" x14ac:dyDescent="0.25">
      <c r="A708">
        <v>19</v>
      </c>
      <c r="B708">
        <v>46</v>
      </c>
      <c r="C708">
        <v>3.75</v>
      </c>
    </row>
    <row r="709" spans="1:3" x14ac:dyDescent="0.25">
      <c r="A709">
        <v>42</v>
      </c>
      <c r="B709">
        <v>4</v>
      </c>
      <c r="C709">
        <v>3.75</v>
      </c>
    </row>
    <row r="710" spans="1:3" x14ac:dyDescent="0.25">
      <c r="A710">
        <v>46</v>
      </c>
      <c r="B710">
        <v>19</v>
      </c>
      <c r="C710">
        <v>3.75</v>
      </c>
    </row>
    <row r="711" spans="1:3" x14ac:dyDescent="0.25">
      <c r="A711">
        <v>28</v>
      </c>
      <c r="B711">
        <v>49</v>
      </c>
      <c r="C711">
        <v>3.7399999999999975</v>
      </c>
    </row>
    <row r="712" spans="1:3" x14ac:dyDescent="0.25">
      <c r="A712">
        <v>49</v>
      </c>
      <c r="B712">
        <v>28</v>
      </c>
      <c r="C712">
        <v>3.7399999999999975</v>
      </c>
    </row>
    <row r="713" spans="1:3" x14ac:dyDescent="0.25">
      <c r="A713">
        <v>8</v>
      </c>
      <c r="B713">
        <v>13</v>
      </c>
      <c r="C713">
        <v>3.7100000000000009</v>
      </c>
    </row>
    <row r="714" spans="1:3" x14ac:dyDescent="0.25">
      <c r="A714">
        <v>13</v>
      </c>
      <c r="B714">
        <v>8</v>
      </c>
      <c r="C714">
        <v>3.7100000000000009</v>
      </c>
    </row>
    <row r="715" spans="1:3" x14ac:dyDescent="0.25">
      <c r="A715">
        <v>33</v>
      </c>
      <c r="B715">
        <v>46</v>
      </c>
      <c r="C715">
        <v>3.7</v>
      </c>
    </row>
    <row r="716" spans="1:3" x14ac:dyDescent="0.25">
      <c r="A716">
        <v>46</v>
      </c>
      <c r="B716">
        <v>33</v>
      </c>
      <c r="C716">
        <v>3.7</v>
      </c>
    </row>
    <row r="717" spans="1:3" x14ac:dyDescent="0.25">
      <c r="A717">
        <v>6</v>
      </c>
      <c r="B717">
        <v>25</v>
      </c>
      <c r="C717">
        <v>3.6800000000000055</v>
      </c>
    </row>
    <row r="718" spans="1:3" x14ac:dyDescent="0.25">
      <c r="A718">
        <v>25</v>
      </c>
      <c r="B718">
        <v>6</v>
      </c>
      <c r="C718">
        <v>3.6800000000000055</v>
      </c>
    </row>
    <row r="719" spans="1:3" x14ac:dyDescent="0.25">
      <c r="A719">
        <v>35</v>
      </c>
      <c r="B719">
        <v>47</v>
      </c>
      <c r="C719">
        <v>3.6800000000000006</v>
      </c>
    </row>
    <row r="720" spans="1:3" x14ac:dyDescent="0.25">
      <c r="A720">
        <v>47</v>
      </c>
      <c r="B720">
        <v>35</v>
      </c>
      <c r="C720">
        <v>3.6800000000000006</v>
      </c>
    </row>
    <row r="721" spans="1:3" x14ac:dyDescent="0.25">
      <c r="A721">
        <v>23</v>
      </c>
      <c r="B721">
        <v>23</v>
      </c>
      <c r="C721">
        <v>3.68</v>
      </c>
    </row>
    <row r="722" spans="1:3" x14ac:dyDescent="0.25">
      <c r="A722">
        <v>23</v>
      </c>
      <c r="B722">
        <v>39</v>
      </c>
      <c r="C722">
        <v>3.6799999999999997</v>
      </c>
    </row>
    <row r="723" spans="1:3" x14ac:dyDescent="0.25">
      <c r="A723">
        <v>39</v>
      </c>
      <c r="B723">
        <v>23</v>
      </c>
      <c r="C723">
        <v>3.6799999999999997</v>
      </c>
    </row>
    <row r="724" spans="1:3" x14ac:dyDescent="0.25">
      <c r="A724">
        <v>13</v>
      </c>
      <c r="B724">
        <v>29</v>
      </c>
      <c r="C724">
        <v>3.6799999999999979</v>
      </c>
    </row>
    <row r="725" spans="1:3" x14ac:dyDescent="0.25">
      <c r="A725">
        <v>29</v>
      </c>
      <c r="B725">
        <v>13</v>
      </c>
      <c r="C725">
        <v>3.6799999999999979</v>
      </c>
    </row>
    <row r="726" spans="1:3" x14ac:dyDescent="0.25">
      <c r="A726">
        <v>23</v>
      </c>
      <c r="B726">
        <v>30</v>
      </c>
      <c r="C726">
        <v>3.6700000000000004</v>
      </c>
    </row>
    <row r="727" spans="1:3" x14ac:dyDescent="0.25">
      <c r="A727">
        <v>30</v>
      </c>
      <c r="B727">
        <v>23</v>
      </c>
      <c r="C727">
        <v>3.6700000000000004</v>
      </c>
    </row>
    <row r="728" spans="1:3" x14ac:dyDescent="0.25">
      <c r="A728">
        <v>23</v>
      </c>
      <c r="B728">
        <v>35</v>
      </c>
      <c r="C728">
        <v>3.67</v>
      </c>
    </row>
    <row r="729" spans="1:3" x14ac:dyDescent="0.25">
      <c r="A729">
        <v>35</v>
      </c>
      <c r="B729">
        <v>23</v>
      </c>
      <c r="C729">
        <v>3.67</v>
      </c>
    </row>
    <row r="730" spans="1:3" x14ac:dyDescent="0.25">
      <c r="A730">
        <v>17</v>
      </c>
      <c r="B730">
        <v>46</v>
      </c>
      <c r="C730">
        <v>3.66</v>
      </c>
    </row>
    <row r="731" spans="1:3" x14ac:dyDescent="0.25">
      <c r="A731">
        <v>46</v>
      </c>
      <c r="B731">
        <v>17</v>
      </c>
      <c r="C731">
        <v>3.66</v>
      </c>
    </row>
    <row r="732" spans="1:3" x14ac:dyDescent="0.25">
      <c r="A732">
        <v>45</v>
      </c>
      <c r="B732">
        <v>48</v>
      </c>
      <c r="C732">
        <v>3.6599999999999997</v>
      </c>
    </row>
    <row r="733" spans="1:3" x14ac:dyDescent="0.25">
      <c r="A733">
        <v>48</v>
      </c>
      <c r="B733">
        <v>45</v>
      </c>
      <c r="C733">
        <v>3.6599999999999997</v>
      </c>
    </row>
    <row r="734" spans="1:3" x14ac:dyDescent="0.25">
      <c r="A734">
        <v>28</v>
      </c>
      <c r="B734">
        <v>35</v>
      </c>
      <c r="C734">
        <v>3.6599999999999975</v>
      </c>
    </row>
    <row r="735" spans="1:3" x14ac:dyDescent="0.25">
      <c r="A735">
        <v>35</v>
      </c>
      <c r="B735">
        <v>28</v>
      </c>
      <c r="C735">
        <v>3.6599999999999975</v>
      </c>
    </row>
    <row r="736" spans="1:3" x14ac:dyDescent="0.25">
      <c r="A736">
        <v>23</v>
      </c>
      <c r="B736">
        <v>38</v>
      </c>
      <c r="C736">
        <v>3.65</v>
      </c>
    </row>
    <row r="737" spans="1:3" x14ac:dyDescent="0.25">
      <c r="A737">
        <v>38</v>
      </c>
      <c r="B737">
        <v>23</v>
      </c>
      <c r="C737">
        <v>3.65</v>
      </c>
    </row>
    <row r="738" spans="1:3" x14ac:dyDescent="0.25">
      <c r="A738">
        <v>10</v>
      </c>
      <c r="B738">
        <v>13</v>
      </c>
      <c r="C738">
        <v>3.6499999999999986</v>
      </c>
    </row>
    <row r="739" spans="1:3" x14ac:dyDescent="0.25">
      <c r="A739">
        <v>13</v>
      </c>
      <c r="B739">
        <v>10</v>
      </c>
      <c r="C739">
        <v>3.6499999999999986</v>
      </c>
    </row>
    <row r="740" spans="1:3" x14ac:dyDescent="0.25">
      <c r="A740">
        <v>5</v>
      </c>
      <c r="B740">
        <v>29</v>
      </c>
      <c r="C740">
        <v>3.6400000000000059</v>
      </c>
    </row>
    <row r="741" spans="1:3" x14ac:dyDescent="0.25">
      <c r="A741">
        <v>29</v>
      </c>
      <c r="B741">
        <v>5</v>
      </c>
      <c r="C741">
        <v>3.6400000000000059</v>
      </c>
    </row>
    <row r="742" spans="1:3" x14ac:dyDescent="0.25">
      <c r="A742">
        <v>41</v>
      </c>
      <c r="B742">
        <v>47</v>
      </c>
      <c r="C742">
        <v>3.6300000000000003</v>
      </c>
    </row>
    <row r="743" spans="1:3" x14ac:dyDescent="0.25">
      <c r="A743">
        <v>47</v>
      </c>
      <c r="B743">
        <v>41</v>
      </c>
      <c r="C743">
        <v>3.6300000000000003</v>
      </c>
    </row>
    <row r="744" spans="1:3" x14ac:dyDescent="0.25">
      <c r="A744">
        <v>15</v>
      </c>
      <c r="B744">
        <v>42</v>
      </c>
      <c r="C744">
        <v>3.63</v>
      </c>
    </row>
    <row r="745" spans="1:3" x14ac:dyDescent="0.25">
      <c r="A745">
        <v>42</v>
      </c>
      <c r="B745">
        <v>15</v>
      </c>
      <c r="C745">
        <v>3.63</v>
      </c>
    </row>
    <row r="746" spans="1:3" x14ac:dyDescent="0.25">
      <c r="A746">
        <v>4</v>
      </c>
      <c r="B746">
        <v>24</v>
      </c>
      <c r="C746">
        <v>3.6200000000000019</v>
      </c>
    </row>
    <row r="747" spans="1:3" x14ac:dyDescent="0.25">
      <c r="A747">
        <v>24</v>
      </c>
      <c r="B747">
        <v>4</v>
      </c>
      <c r="C747">
        <v>3.6200000000000019</v>
      </c>
    </row>
    <row r="748" spans="1:3" x14ac:dyDescent="0.25">
      <c r="A748">
        <v>23</v>
      </c>
      <c r="B748">
        <v>24</v>
      </c>
      <c r="C748">
        <v>3.62</v>
      </c>
    </row>
    <row r="749" spans="1:3" x14ac:dyDescent="0.25">
      <c r="A749">
        <v>24</v>
      </c>
      <c r="B749">
        <v>23</v>
      </c>
      <c r="C749">
        <v>3.62</v>
      </c>
    </row>
    <row r="750" spans="1:3" x14ac:dyDescent="0.25">
      <c r="A750">
        <v>24</v>
      </c>
      <c r="B750">
        <v>44</v>
      </c>
      <c r="C750">
        <v>3.62</v>
      </c>
    </row>
    <row r="751" spans="1:3" x14ac:dyDescent="0.25">
      <c r="A751">
        <v>44</v>
      </c>
      <c r="B751">
        <v>24</v>
      </c>
      <c r="C751">
        <v>3.62</v>
      </c>
    </row>
    <row r="752" spans="1:3" x14ac:dyDescent="0.25">
      <c r="A752">
        <v>2</v>
      </c>
      <c r="B752">
        <v>35</v>
      </c>
      <c r="C752">
        <v>3.6100000000000003</v>
      </c>
    </row>
    <row r="753" spans="1:3" x14ac:dyDescent="0.25">
      <c r="A753">
        <v>33</v>
      </c>
      <c r="B753">
        <v>35</v>
      </c>
      <c r="C753">
        <v>3.6100000000000003</v>
      </c>
    </row>
    <row r="754" spans="1:3" x14ac:dyDescent="0.25">
      <c r="A754">
        <v>35</v>
      </c>
      <c r="B754">
        <v>2</v>
      </c>
      <c r="C754">
        <v>3.6100000000000003</v>
      </c>
    </row>
    <row r="755" spans="1:3" x14ac:dyDescent="0.25">
      <c r="A755">
        <v>35</v>
      </c>
      <c r="B755">
        <v>33</v>
      </c>
      <c r="C755">
        <v>3.6100000000000003</v>
      </c>
    </row>
    <row r="756" spans="1:3" x14ac:dyDescent="0.25">
      <c r="A756">
        <v>15</v>
      </c>
      <c r="B756">
        <v>35</v>
      </c>
      <c r="C756">
        <v>3.6000000000000005</v>
      </c>
    </row>
    <row r="757" spans="1:3" x14ac:dyDescent="0.25">
      <c r="A757">
        <v>35</v>
      </c>
      <c r="B757">
        <v>15</v>
      </c>
      <c r="C757">
        <v>3.6000000000000005</v>
      </c>
    </row>
    <row r="758" spans="1:3" x14ac:dyDescent="0.25">
      <c r="A758">
        <v>28</v>
      </c>
      <c r="B758">
        <v>41</v>
      </c>
      <c r="C758">
        <v>3.5999999999999992</v>
      </c>
    </row>
    <row r="759" spans="1:3" x14ac:dyDescent="0.25">
      <c r="A759">
        <v>41</v>
      </c>
      <c r="B759">
        <v>28</v>
      </c>
      <c r="C759">
        <v>3.5999999999999992</v>
      </c>
    </row>
    <row r="760" spans="1:3" x14ac:dyDescent="0.25">
      <c r="A760">
        <v>23</v>
      </c>
      <c r="B760">
        <v>41</v>
      </c>
      <c r="C760">
        <v>3.59</v>
      </c>
    </row>
    <row r="761" spans="1:3" x14ac:dyDescent="0.25">
      <c r="A761">
        <v>41</v>
      </c>
      <c r="B761">
        <v>23</v>
      </c>
      <c r="C761">
        <v>3.59</v>
      </c>
    </row>
    <row r="762" spans="1:3" x14ac:dyDescent="0.25">
      <c r="A762">
        <v>44</v>
      </c>
      <c r="B762">
        <v>46</v>
      </c>
      <c r="C762">
        <v>3.59</v>
      </c>
    </row>
    <row r="763" spans="1:3" x14ac:dyDescent="0.25">
      <c r="A763">
        <v>46</v>
      </c>
      <c r="B763">
        <v>44</v>
      </c>
      <c r="C763">
        <v>3.59</v>
      </c>
    </row>
    <row r="764" spans="1:3" x14ac:dyDescent="0.25">
      <c r="A764">
        <v>31</v>
      </c>
      <c r="B764">
        <v>42</v>
      </c>
      <c r="C764">
        <v>3.5600000000000005</v>
      </c>
    </row>
    <row r="765" spans="1:3" x14ac:dyDescent="0.25">
      <c r="A765">
        <v>42</v>
      </c>
      <c r="B765">
        <v>31</v>
      </c>
      <c r="C765">
        <v>3.5600000000000005</v>
      </c>
    </row>
    <row r="766" spans="1:3" x14ac:dyDescent="0.25">
      <c r="A766">
        <v>10</v>
      </c>
      <c r="B766">
        <v>32</v>
      </c>
      <c r="C766">
        <v>3.5400000000000102</v>
      </c>
    </row>
    <row r="767" spans="1:3" x14ac:dyDescent="0.25">
      <c r="A767">
        <v>32</v>
      </c>
      <c r="B767">
        <v>10</v>
      </c>
      <c r="C767">
        <v>3.5400000000000102</v>
      </c>
    </row>
    <row r="768" spans="1:3" x14ac:dyDescent="0.25">
      <c r="A768">
        <v>27</v>
      </c>
      <c r="B768">
        <v>32</v>
      </c>
      <c r="C768">
        <v>3.54</v>
      </c>
    </row>
    <row r="769" spans="1:3" x14ac:dyDescent="0.25">
      <c r="A769">
        <v>32</v>
      </c>
      <c r="B769">
        <v>27</v>
      </c>
      <c r="C769">
        <v>3.54</v>
      </c>
    </row>
    <row r="770" spans="1:3" x14ac:dyDescent="0.25">
      <c r="A770">
        <v>32</v>
      </c>
      <c r="B770">
        <v>32</v>
      </c>
      <c r="C770">
        <v>3.54</v>
      </c>
    </row>
    <row r="771" spans="1:3" x14ac:dyDescent="0.25">
      <c r="A771">
        <v>29</v>
      </c>
      <c r="B771">
        <v>33</v>
      </c>
      <c r="C771">
        <v>3.5399999999999983</v>
      </c>
    </row>
    <row r="772" spans="1:3" x14ac:dyDescent="0.25">
      <c r="A772">
        <v>33</v>
      </c>
      <c r="B772">
        <v>29</v>
      </c>
      <c r="C772">
        <v>3.5399999999999983</v>
      </c>
    </row>
    <row r="773" spans="1:3" x14ac:dyDescent="0.25">
      <c r="A773">
        <v>8</v>
      </c>
      <c r="B773">
        <v>32</v>
      </c>
      <c r="C773">
        <v>3.5300000000000051</v>
      </c>
    </row>
    <row r="774" spans="1:3" x14ac:dyDescent="0.25">
      <c r="A774">
        <v>32</v>
      </c>
      <c r="B774">
        <v>8</v>
      </c>
      <c r="C774">
        <v>3.5300000000000051</v>
      </c>
    </row>
    <row r="775" spans="1:3" x14ac:dyDescent="0.25">
      <c r="A775">
        <v>2</v>
      </c>
      <c r="B775">
        <v>41</v>
      </c>
      <c r="C775">
        <v>3.5299999999999989</v>
      </c>
    </row>
    <row r="776" spans="1:3" x14ac:dyDescent="0.25">
      <c r="A776">
        <v>41</v>
      </c>
      <c r="B776">
        <v>2</v>
      </c>
      <c r="C776">
        <v>3.5299999999999989</v>
      </c>
    </row>
    <row r="777" spans="1:3" x14ac:dyDescent="0.25">
      <c r="A777">
        <v>43</v>
      </c>
      <c r="B777">
        <v>48</v>
      </c>
      <c r="C777">
        <v>3.51</v>
      </c>
    </row>
    <row r="778" spans="1:3" x14ac:dyDescent="0.25">
      <c r="A778">
        <v>48</v>
      </c>
      <c r="B778">
        <v>43</v>
      </c>
      <c r="C778">
        <v>3.51</v>
      </c>
    </row>
    <row r="779" spans="1:3" x14ac:dyDescent="0.25">
      <c r="A779">
        <v>8</v>
      </c>
      <c r="B779">
        <v>17</v>
      </c>
      <c r="C779">
        <v>3.5099999999999962</v>
      </c>
    </row>
    <row r="780" spans="1:3" x14ac:dyDescent="0.25">
      <c r="A780">
        <v>17</v>
      </c>
      <c r="B780">
        <v>8</v>
      </c>
      <c r="C780">
        <v>3.5099999999999962</v>
      </c>
    </row>
    <row r="781" spans="1:3" x14ac:dyDescent="0.25">
      <c r="A781">
        <v>10</v>
      </c>
      <c r="B781">
        <v>17</v>
      </c>
      <c r="C781">
        <v>3.5000000000000053</v>
      </c>
    </row>
    <row r="782" spans="1:3" x14ac:dyDescent="0.25">
      <c r="A782">
        <v>17</v>
      </c>
      <c r="B782">
        <v>10</v>
      </c>
      <c r="C782">
        <v>3.5000000000000053</v>
      </c>
    </row>
    <row r="783" spans="1:3" x14ac:dyDescent="0.25">
      <c r="A783">
        <v>23</v>
      </c>
      <c r="B783">
        <v>43</v>
      </c>
      <c r="C783">
        <v>3.49</v>
      </c>
    </row>
    <row r="784" spans="1:3" x14ac:dyDescent="0.25">
      <c r="A784">
        <v>43</v>
      </c>
      <c r="B784">
        <v>23</v>
      </c>
      <c r="C784">
        <v>3.49</v>
      </c>
    </row>
    <row r="785" spans="1:3" x14ac:dyDescent="0.25">
      <c r="A785">
        <v>40</v>
      </c>
      <c r="B785">
        <v>43</v>
      </c>
      <c r="C785">
        <v>3.4800000000000004</v>
      </c>
    </row>
    <row r="786" spans="1:3" x14ac:dyDescent="0.25">
      <c r="A786">
        <v>43</v>
      </c>
      <c r="B786">
        <v>40</v>
      </c>
      <c r="C786">
        <v>3.4800000000000004</v>
      </c>
    </row>
    <row r="787" spans="1:3" x14ac:dyDescent="0.25">
      <c r="A787">
        <v>31</v>
      </c>
      <c r="B787">
        <v>38</v>
      </c>
      <c r="C787">
        <v>3.48</v>
      </c>
    </row>
    <row r="788" spans="1:3" x14ac:dyDescent="0.25">
      <c r="A788">
        <v>38</v>
      </c>
      <c r="B788">
        <v>31</v>
      </c>
      <c r="C788">
        <v>3.48</v>
      </c>
    </row>
    <row r="789" spans="1:3" x14ac:dyDescent="0.25">
      <c r="A789">
        <v>23</v>
      </c>
      <c r="B789">
        <v>29</v>
      </c>
      <c r="C789">
        <v>3.4799999999999986</v>
      </c>
    </row>
    <row r="790" spans="1:3" x14ac:dyDescent="0.25">
      <c r="A790">
        <v>29</v>
      </c>
      <c r="B790">
        <v>23</v>
      </c>
      <c r="C790">
        <v>3.4799999999999986</v>
      </c>
    </row>
    <row r="791" spans="1:3" x14ac:dyDescent="0.25">
      <c r="A791">
        <v>24</v>
      </c>
      <c r="B791">
        <v>33</v>
      </c>
      <c r="C791">
        <v>3.4700000000000006</v>
      </c>
    </row>
    <row r="792" spans="1:3" x14ac:dyDescent="0.25">
      <c r="A792">
        <v>33</v>
      </c>
      <c r="B792">
        <v>24</v>
      </c>
      <c r="C792">
        <v>3.4700000000000006</v>
      </c>
    </row>
    <row r="793" spans="1:3" x14ac:dyDescent="0.25">
      <c r="A793">
        <v>16</v>
      </c>
      <c r="B793">
        <v>25</v>
      </c>
      <c r="C793">
        <v>3.47</v>
      </c>
    </row>
    <row r="794" spans="1:3" x14ac:dyDescent="0.25">
      <c r="A794">
        <v>25</v>
      </c>
      <c r="B794">
        <v>16</v>
      </c>
      <c r="C794">
        <v>3.47</v>
      </c>
    </row>
    <row r="795" spans="1:3" x14ac:dyDescent="0.25">
      <c r="A795">
        <v>41</v>
      </c>
      <c r="B795">
        <v>42</v>
      </c>
      <c r="C795">
        <v>3.47</v>
      </c>
    </row>
    <row r="796" spans="1:3" x14ac:dyDescent="0.25">
      <c r="A796">
        <v>42</v>
      </c>
      <c r="B796">
        <v>41</v>
      </c>
      <c r="C796">
        <v>3.47</v>
      </c>
    </row>
    <row r="797" spans="1:3" x14ac:dyDescent="0.25">
      <c r="A797">
        <v>19</v>
      </c>
      <c r="B797">
        <v>23</v>
      </c>
      <c r="C797">
        <v>3.4699999999999998</v>
      </c>
    </row>
    <row r="798" spans="1:3" x14ac:dyDescent="0.25">
      <c r="A798">
        <v>23</v>
      </c>
      <c r="B798">
        <v>19</v>
      </c>
      <c r="C798">
        <v>3.4699999999999998</v>
      </c>
    </row>
    <row r="799" spans="1:3" x14ac:dyDescent="0.25">
      <c r="A799">
        <v>47</v>
      </c>
      <c r="B799">
        <v>49</v>
      </c>
      <c r="C799">
        <v>3.46</v>
      </c>
    </row>
    <row r="800" spans="1:3" x14ac:dyDescent="0.25">
      <c r="A800">
        <v>49</v>
      </c>
      <c r="B800">
        <v>47</v>
      </c>
      <c r="C800">
        <v>3.46</v>
      </c>
    </row>
    <row r="801" spans="1:3" x14ac:dyDescent="0.25">
      <c r="A801">
        <v>4</v>
      </c>
      <c r="B801">
        <v>45</v>
      </c>
      <c r="C801">
        <v>3.459999999999996</v>
      </c>
    </row>
    <row r="802" spans="1:3" x14ac:dyDescent="0.25">
      <c r="A802">
        <v>45</v>
      </c>
      <c r="B802">
        <v>4</v>
      </c>
      <c r="C802">
        <v>3.459999999999996</v>
      </c>
    </row>
    <row r="803" spans="1:3" x14ac:dyDescent="0.25">
      <c r="A803">
        <v>26</v>
      </c>
      <c r="B803">
        <v>26</v>
      </c>
      <c r="C803">
        <v>3.44</v>
      </c>
    </row>
    <row r="804" spans="1:3" x14ac:dyDescent="0.25">
      <c r="A804">
        <v>13</v>
      </c>
      <c r="B804">
        <v>26</v>
      </c>
      <c r="C804">
        <v>3.4399999999999995</v>
      </c>
    </row>
    <row r="805" spans="1:3" x14ac:dyDescent="0.25">
      <c r="A805">
        <v>26</v>
      </c>
      <c r="B805">
        <v>13</v>
      </c>
      <c r="C805">
        <v>3.4399999999999995</v>
      </c>
    </row>
    <row r="806" spans="1:3" x14ac:dyDescent="0.25">
      <c r="A806">
        <v>24</v>
      </c>
      <c r="B806">
        <v>46</v>
      </c>
      <c r="C806">
        <v>3.43</v>
      </c>
    </row>
    <row r="807" spans="1:3" x14ac:dyDescent="0.25">
      <c r="A807">
        <v>46</v>
      </c>
      <c r="B807">
        <v>24</v>
      </c>
      <c r="C807">
        <v>3.43</v>
      </c>
    </row>
    <row r="808" spans="1:3" x14ac:dyDescent="0.25">
      <c r="A808">
        <v>15</v>
      </c>
      <c r="B808">
        <v>38</v>
      </c>
      <c r="C808">
        <v>3.42</v>
      </c>
    </row>
    <row r="809" spans="1:3" x14ac:dyDescent="0.25">
      <c r="A809">
        <v>35</v>
      </c>
      <c r="B809">
        <v>44</v>
      </c>
      <c r="C809">
        <v>3.42</v>
      </c>
    </row>
    <row r="810" spans="1:3" x14ac:dyDescent="0.25">
      <c r="A810">
        <v>38</v>
      </c>
      <c r="B810">
        <v>15</v>
      </c>
      <c r="C810">
        <v>3.42</v>
      </c>
    </row>
    <row r="811" spans="1:3" x14ac:dyDescent="0.25">
      <c r="A811">
        <v>44</v>
      </c>
      <c r="B811">
        <v>35</v>
      </c>
      <c r="C811">
        <v>3.42</v>
      </c>
    </row>
    <row r="812" spans="1:3" x14ac:dyDescent="0.25">
      <c r="A812">
        <v>12</v>
      </c>
      <c r="B812">
        <v>26</v>
      </c>
      <c r="C812">
        <v>3.4099999999999975</v>
      </c>
    </row>
    <row r="813" spans="1:3" x14ac:dyDescent="0.25">
      <c r="A813">
        <v>26</v>
      </c>
      <c r="B813">
        <v>12</v>
      </c>
      <c r="C813">
        <v>3.4099999999999975</v>
      </c>
    </row>
    <row r="814" spans="1:3" x14ac:dyDescent="0.25">
      <c r="A814">
        <v>26</v>
      </c>
      <c r="B814">
        <v>40</v>
      </c>
      <c r="C814">
        <v>3.3999999999999995</v>
      </c>
    </row>
    <row r="815" spans="1:3" x14ac:dyDescent="0.25">
      <c r="A815">
        <v>40</v>
      </c>
      <c r="B815">
        <v>26</v>
      </c>
      <c r="C815">
        <v>3.3999999999999995</v>
      </c>
    </row>
    <row r="816" spans="1:3" x14ac:dyDescent="0.25">
      <c r="A816">
        <v>39</v>
      </c>
      <c r="B816">
        <v>44</v>
      </c>
      <c r="C816">
        <v>3.3899999999999997</v>
      </c>
    </row>
    <row r="817" spans="1:3" x14ac:dyDescent="0.25">
      <c r="A817">
        <v>44</v>
      </c>
      <c r="B817">
        <v>39</v>
      </c>
      <c r="C817">
        <v>3.3899999999999997</v>
      </c>
    </row>
    <row r="818" spans="1:3" x14ac:dyDescent="0.25">
      <c r="A818">
        <v>16</v>
      </c>
      <c r="B818">
        <v>32</v>
      </c>
      <c r="C818">
        <v>3.3700000000000006</v>
      </c>
    </row>
    <row r="819" spans="1:3" x14ac:dyDescent="0.25">
      <c r="A819">
        <v>32</v>
      </c>
      <c r="B819">
        <v>16</v>
      </c>
      <c r="C819">
        <v>3.3700000000000006</v>
      </c>
    </row>
    <row r="820" spans="1:3" x14ac:dyDescent="0.25">
      <c r="A820">
        <v>11</v>
      </c>
      <c r="B820">
        <v>26</v>
      </c>
      <c r="C820">
        <v>3.3499999999999952</v>
      </c>
    </row>
    <row r="821" spans="1:3" x14ac:dyDescent="0.25">
      <c r="A821">
        <v>26</v>
      </c>
      <c r="B821">
        <v>11</v>
      </c>
      <c r="C821">
        <v>3.3499999999999952</v>
      </c>
    </row>
    <row r="822" spans="1:3" x14ac:dyDescent="0.25">
      <c r="A822">
        <v>3</v>
      </c>
      <c r="B822">
        <v>26</v>
      </c>
      <c r="C822">
        <v>3.3400000000000043</v>
      </c>
    </row>
    <row r="823" spans="1:3" x14ac:dyDescent="0.25">
      <c r="A823">
        <v>26</v>
      </c>
      <c r="B823">
        <v>3</v>
      </c>
      <c r="C823">
        <v>3.3400000000000043</v>
      </c>
    </row>
    <row r="824" spans="1:3" x14ac:dyDescent="0.25">
      <c r="A824">
        <v>6</v>
      </c>
      <c r="B824">
        <v>23</v>
      </c>
      <c r="C824">
        <v>3.34</v>
      </c>
    </row>
    <row r="825" spans="1:3" x14ac:dyDescent="0.25">
      <c r="A825">
        <v>18</v>
      </c>
      <c r="B825">
        <v>26</v>
      </c>
      <c r="C825">
        <v>3.34</v>
      </c>
    </row>
    <row r="826" spans="1:3" x14ac:dyDescent="0.25">
      <c r="A826">
        <v>23</v>
      </c>
      <c r="B826">
        <v>6</v>
      </c>
      <c r="C826">
        <v>3.34</v>
      </c>
    </row>
    <row r="827" spans="1:3" x14ac:dyDescent="0.25">
      <c r="A827">
        <v>26</v>
      </c>
      <c r="B827">
        <v>18</v>
      </c>
      <c r="C827">
        <v>3.34</v>
      </c>
    </row>
    <row r="828" spans="1:3" x14ac:dyDescent="0.25">
      <c r="A828">
        <v>3</v>
      </c>
      <c r="B828">
        <v>35</v>
      </c>
      <c r="C828">
        <v>3.3200000000000012</v>
      </c>
    </row>
    <row r="829" spans="1:3" x14ac:dyDescent="0.25">
      <c r="A829">
        <v>35</v>
      </c>
      <c r="B829">
        <v>3</v>
      </c>
      <c r="C829">
        <v>3.3200000000000012</v>
      </c>
    </row>
    <row r="830" spans="1:3" x14ac:dyDescent="0.25">
      <c r="A830">
        <v>26</v>
      </c>
      <c r="B830">
        <v>50</v>
      </c>
      <c r="C830">
        <v>3.3199999999999976</v>
      </c>
    </row>
    <row r="831" spans="1:3" x14ac:dyDescent="0.25">
      <c r="A831">
        <v>50</v>
      </c>
      <c r="B831">
        <v>26</v>
      </c>
      <c r="C831">
        <v>3.3199999999999976</v>
      </c>
    </row>
    <row r="832" spans="1:3" x14ac:dyDescent="0.25">
      <c r="A832">
        <v>11</v>
      </c>
      <c r="B832">
        <v>16</v>
      </c>
      <c r="C832">
        <v>3.3099999999999987</v>
      </c>
    </row>
    <row r="833" spans="1:3" x14ac:dyDescent="0.25">
      <c r="A833">
        <v>16</v>
      </c>
      <c r="B833">
        <v>11</v>
      </c>
      <c r="C833">
        <v>3.3099999999999987</v>
      </c>
    </row>
    <row r="834" spans="1:3" x14ac:dyDescent="0.25">
      <c r="A834">
        <v>17</v>
      </c>
      <c r="B834">
        <v>19</v>
      </c>
      <c r="C834">
        <v>3.3</v>
      </c>
    </row>
    <row r="835" spans="1:3" x14ac:dyDescent="0.25">
      <c r="A835">
        <v>19</v>
      </c>
      <c r="B835">
        <v>17</v>
      </c>
      <c r="C835">
        <v>3.3</v>
      </c>
    </row>
    <row r="836" spans="1:3" x14ac:dyDescent="0.25">
      <c r="A836">
        <v>31</v>
      </c>
      <c r="B836">
        <v>39</v>
      </c>
      <c r="C836">
        <v>3.29</v>
      </c>
    </row>
    <row r="837" spans="1:3" x14ac:dyDescent="0.25">
      <c r="A837">
        <v>39</v>
      </c>
      <c r="B837">
        <v>31</v>
      </c>
      <c r="C837">
        <v>3.29</v>
      </c>
    </row>
    <row r="838" spans="1:3" x14ac:dyDescent="0.25">
      <c r="A838">
        <v>3</v>
      </c>
      <c r="B838">
        <v>41</v>
      </c>
      <c r="C838">
        <v>3.2799999999999989</v>
      </c>
    </row>
    <row r="839" spans="1:3" x14ac:dyDescent="0.25">
      <c r="A839">
        <v>41</v>
      </c>
      <c r="B839">
        <v>3</v>
      </c>
      <c r="C839">
        <v>3.2799999999999989</v>
      </c>
    </row>
    <row r="840" spans="1:3" x14ac:dyDescent="0.25">
      <c r="A840">
        <v>2</v>
      </c>
      <c r="B840">
        <v>26</v>
      </c>
      <c r="C840">
        <v>3.2799999999999949</v>
      </c>
    </row>
    <row r="841" spans="1:3" x14ac:dyDescent="0.25">
      <c r="A841">
        <v>26</v>
      </c>
      <c r="B841">
        <v>2</v>
      </c>
      <c r="C841">
        <v>3.2799999999999949</v>
      </c>
    </row>
    <row r="842" spans="1:3" x14ac:dyDescent="0.25">
      <c r="A842">
        <v>38</v>
      </c>
      <c r="B842">
        <v>42</v>
      </c>
      <c r="C842">
        <v>3.27</v>
      </c>
    </row>
    <row r="843" spans="1:3" x14ac:dyDescent="0.25">
      <c r="A843">
        <v>42</v>
      </c>
      <c r="B843">
        <v>38</v>
      </c>
      <c r="C843">
        <v>3.27</v>
      </c>
    </row>
    <row r="844" spans="1:3" x14ac:dyDescent="0.25">
      <c r="A844">
        <v>4</v>
      </c>
      <c r="B844">
        <v>10</v>
      </c>
      <c r="C844">
        <v>3.269999999999996</v>
      </c>
    </row>
    <row r="845" spans="1:3" x14ac:dyDescent="0.25">
      <c r="A845">
        <v>10</v>
      </c>
      <c r="B845">
        <v>4</v>
      </c>
      <c r="C845">
        <v>3.269999999999996</v>
      </c>
    </row>
    <row r="846" spans="1:3" x14ac:dyDescent="0.25">
      <c r="A846">
        <v>5</v>
      </c>
      <c r="B846">
        <v>15</v>
      </c>
      <c r="C846">
        <v>3.2600000000000033</v>
      </c>
    </row>
    <row r="847" spans="1:3" x14ac:dyDescent="0.25">
      <c r="A847">
        <v>15</v>
      </c>
      <c r="B847">
        <v>5</v>
      </c>
      <c r="C847">
        <v>3.2600000000000033</v>
      </c>
    </row>
    <row r="848" spans="1:3" x14ac:dyDescent="0.25">
      <c r="A848">
        <v>4</v>
      </c>
      <c r="B848">
        <v>30</v>
      </c>
      <c r="C848">
        <v>3.2500000000000013</v>
      </c>
    </row>
    <row r="849" spans="1:3" x14ac:dyDescent="0.25">
      <c r="A849">
        <v>30</v>
      </c>
      <c r="B849">
        <v>4</v>
      </c>
      <c r="C849">
        <v>3.2500000000000013</v>
      </c>
    </row>
    <row r="850" spans="1:3" x14ac:dyDescent="0.25">
      <c r="A850">
        <v>26</v>
      </c>
      <c r="B850">
        <v>28</v>
      </c>
      <c r="C850">
        <v>3.2399999999999993</v>
      </c>
    </row>
    <row r="851" spans="1:3" x14ac:dyDescent="0.25">
      <c r="A851">
        <v>28</v>
      </c>
      <c r="B851">
        <v>26</v>
      </c>
      <c r="C851">
        <v>3.2399999999999993</v>
      </c>
    </row>
    <row r="852" spans="1:3" x14ac:dyDescent="0.25">
      <c r="A852">
        <v>35</v>
      </c>
      <c r="B852">
        <v>42</v>
      </c>
      <c r="C852">
        <v>3.23</v>
      </c>
    </row>
    <row r="853" spans="1:3" x14ac:dyDescent="0.25">
      <c r="A853">
        <v>42</v>
      </c>
      <c r="B853">
        <v>35</v>
      </c>
      <c r="C853">
        <v>3.23</v>
      </c>
    </row>
    <row r="854" spans="1:3" x14ac:dyDescent="0.25">
      <c r="A854">
        <v>15</v>
      </c>
      <c r="B854">
        <v>39</v>
      </c>
      <c r="C854">
        <v>3.22</v>
      </c>
    </row>
    <row r="855" spans="1:3" x14ac:dyDescent="0.25">
      <c r="A855">
        <v>39</v>
      </c>
      <c r="B855">
        <v>15</v>
      </c>
      <c r="C855">
        <v>3.22</v>
      </c>
    </row>
    <row r="856" spans="1:3" x14ac:dyDescent="0.25">
      <c r="A856">
        <v>33</v>
      </c>
      <c r="B856">
        <v>39</v>
      </c>
      <c r="C856">
        <v>3.2199999999999998</v>
      </c>
    </row>
    <row r="857" spans="1:3" x14ac:dyDescent="0.25">
      <c r="A857">
        <v>35</v>
      </c>
      <c r="B857">
        <v>46</v>
      </c>
      <c r="C857">
        <v>3.2199999999999998</v>
      </c>
    </row>
    <row r="858" spans="1:3" x14ac:dyDescent="0.25">
      <c r="A858">
        <v>39</v>
      </c>
      <c r="B858">
        <v>33</v>
      </c>
      <c r="C858">
        <v>3.2199999999999998</v>
      </c>
    </row>
    <row r="859" spans="1:3" x14ac:dyDescent="0.25">
      <c r="A859">
        <v>46</v>
      </c>
      <c r="B859">
        <v>35</v>
      </c>
      <c r="C859">
        <v>3.2199999999999998</v>
      </c>
    </row>
    <row r="860" spans="1:3" x14ac:dyDescent="0.25">
      <c r="A860">
        <v>25</v>
      </c>
      <c r="B860">
        <v>46</v>
      </c>
      <c r="C860">
        <v>3.21</v>
      </c>
    </row>
    <row r="861" spans="1:3" x14ac:dyDescent="0.25">
      <c r="A861">
        <v>46</v>
      </c>
      <c r="B861">
        <v>25</v>
      </c>
      <c r="C861">
        <v>3.21</v>
      </c>
    </row>
    <row r="862" spans="1:3" x14ac:dyDescent="0.25">
      <c r="A862">
        <v>14</v>
      </c>
      <c r="B862">
        <v>38</v>
      </c>
      <c r="C862">
        <v>3.2099999999999942</v>
      </c>
    </row>
    <row r="863" spans="1:3" x14ac:dyDescent="0.25">
      <c r="A863">
        <v>38</v>
      </c>
      <c r="B863">
        <v>14</v>
      </c>
      <c r="C863">
        <v>3.2099999999999942</v>
      </c>
    </row>
    <row r="864" spans="1:3" x14ac:dyDescent="0.25">
      <c r="A864">
        <v>26</v>
      </c>
      <c r="B864">
        <v>47</v>
      </c>
      <c r="C864">
        <v>3.2</v>
      </c>
    </row>
    <row r="865" spans="1:3" x14ac:dyDescent="0.25">
      <c r="A865">
        <v>47</v>
      </c>
      <c r="B865">
        <v>26</v>
      </c>
      <c r="C865">
        <v>3.2</v>
      </c>
    </row>
    <row r="866" spans="1:3" x14ac:dyDescent="0.25">
      <c r="A866">
        <v>41</v>
      </c>
      <c r="B866">
        <v>50</v>
      </c>
      <c r="C866">
        <v>3.1899999999999991</v>
      </c>
    </row>
    <row r="867" spans="1:3" x14ac:dyDescent="0.25">
      <c r="A867">
        <v>50</v>
      </c>
      <c r="B867">
        <v>41</v>
      </c>
      <c r="C867">
        <v>3.1899999999999991</v>
      </c>
    </row>
    <row r="868" spans="1:3" x14ac:dyDescent="0.25">
      <c r="A868">
        <v>4</v>
      </c>
      <c r="B868">
        <v>19</v>
      </c>
      <c r="C868">
        <v>3.1899999999999924</v>
      </c>
    </row>
    <row r="869" spans="1:3" x14ac:dyDescent="0.25">
      <c r="A869">
        <v>19</v>
      </c>
      <c r="B869">
        <v>4</v>
      </c>
      <c r="C869">
        <v>3.1899999999999924</v>
      </c>
    </row>
    <row r="870" spans="1:3" x14ac:dyDescent="0.25">
      <c r="A870">
        <v>5</v>
      </c>
      <c r="B870">
        <v>26</v>
      </c>
      <c r="C870">
        <v>3.1600000000000046</v>
      </c>
    </row>
    <row r="871" spans="1:3" x14ac:dyDescent="0.25">
      <c r="A871">
        <v>26</v>
      </c>
      <c r="B871">
        <v>5</v>
      </c>
      <c r="C871">
        <v>3.1600000000000046</v>
      </c>
    </row>
    <row r="872" spans="1:3" x14ac:dyDescent="0.25">
      <c r="A872">
        <v>35</v>
      </c>
      <c r="B872">
        <v>50</v>
      </c>
      <c r="C872">
        <v>3.1599999999999975</v>
      </c>
    </row>
    <row r="873" spans="1:3" x14ac:dyDescent="0.25">
      <c r="A873">
        <v>50</v>
      </c>
      <c r="B873">
        <v>35</v>
      </c>
      <c r="C873">
        <v>3.1599999999999975</v>
      </c>
    </row>
    <row r="874" spans="1:3" x14ac:dyDescent="0.25">
      <c r="A874">
        <v>11</v>
      </c>
      <c r="B874">
        <v>27</v>
      </c>
      <c r="C874">
        <v>3.1599999999999953</v>
      </c>
    </row>
    <row r="875" spans="1:3" x14ac:dyDescent="0.25">
      <c r="A875">
        <v>27</v>
      </c>
      <c r="B875">
        <v>11</v>
      </c>
      <c r="C875">
        <v>3.1599999999999953</v>
      </c>
    </row>
    <row r="876" spans="1:3" x14ac:dyDescent="0.25">
      <c r="A876">
        <v>39</v>
      </c>
      <c r="B876">
        <v>46</v>
      </c>
      <c r="C876">
        <v>3.15</v>
      </c>
    </row>
    <row r="877" spans="1:3" x14ac:dyDescent="0.25">
      <c r="A877">
        <v>46</v>
      </c>
      <c r="B877">
        <v>39</v>
      </c>
      <c r="C877">
        <v>3.15</v>
      </c>
    </row>
    <row r="878" spans="1:3" x14ac:dyDescent="0.25">
      <c r="A878">
        <v>14</v>
      </c>
      <c r="B878">
        <v>44</v>
      </c>
      <c r="C878">
        <v>3.1499999999999995</v>
      </c>
    </row>
    <row r="879" spans="1:3" x14ac:dyDescent="0.25">
      <c r="A879">
        <v>44</v>
      </c>
      <c r="B879">
        <v>14</v>
      </c>
      <c r="C879">
        <v>3.1499999999999995</v>
      </c>
    </row>
    <row r="880" spans="1:3" x14ac:dyDescent="0.25">
      <c r="A880">
        <v>32</v>
      </c>
      <c r="B880">
        <v>37</v>
      </c>
      <c r="C880">
        <v>3.14</v>
      </c>
    </row>
    <row r="881" spans="1:3" x14ac:dyDescent="0.25">
      <c r="A881">
        <v>36</v>
      </c>
      <c r="B881">
        <v>42</v>
      </c>
      <c r="C881">
        <v>3.14</v>
      </c>
    </row>
    <row r="882" spans="1:3" x14ac:dyDescent="0.25">
      <c r="A882">
        <v>37</v>
      </c>
      <c r="B882">
        <v>32</v>
      </c>
      <c r="C882">
        <v>3.14</v>
      </c>
    </row>
    <row r="883" spans="1:3" x14ac:dyDescent="0.25">
      <c r="A883">
        <v>42</v>
      </c>
      <c r="B883">
        <v>36</v>
      </c>
      <c r="C883">
        <v>3.14</v>
      </c>
    </row>
    <row r="884" spans="1:3" x14ac:dyDescent="0.25">
      <c r="A884">
        <v>38</v>
      </c>
      <c r="B884">
        <v>44</v>
      </c>
      <c r="C884">
        <v>3.1399999999999997</v>
      </c>
    </row>
    <row r="885" spans="1:3" x14ac:dyDescent="0.25">
      <c r="A885">
        <v>44</v>
      </c>
      <c r="B885">
        <v>38</v>
      </c>
      <c r="C885">
        <v>3.1399999999999997</v>
      </c>
    </row>
    <row r="886" spans="1:3" x14ac:dyDescent="0.25">
      <c r="A886">
        <v>26</v>
      </c>
      <c r="B886">
        <v>48</v>
      </c>
      <c r="C886">
        <v>3.13</v>
      </c>
    </row>
    <row r="887" spans="1:3" x14ac:dyDescent="0.25">
      <c r="A887">
        <v>48</v>
      </c>
      <c r="B887">
        <v>26</v>
      </c>
      <c r="C887">
        <v>3.13</v>
      </c>
    </row>
    <row r="888" spans="1:3" x14ac:dyDescent="0.25">
      <c r="A888">
        <v>38</v>
      </c>
      <c r="B888">
        <v>47</v>
      </c>
      <c r="C888">
        <v>3.1200000000000014</v>
      </c>
    </row>
    <row r="889" spans="1:3" x14ac:dyDescent="0.25">
      <c r="A889">
        <v>47</v>
      </c>
      <c r="B889">
        <v>38</v>
      </c>
      <c r="C889">
        <v>3.1200000000000014</v>
      </c>
    </row>
    <row r="890" spans="1:3" x14ac:dyDescent="0.25">
      <c r="A890">
        <v>42</v>
      </c>
      <c r="B890">
        <v>47</v>
      </c>
      <c r="C890">
        <v>3.120000000000001</v>
      </c>
    </row>
    <row r="891" spans="1:3" x14ac:dyDescent="0.25">
      <c r="A891">
        <v>47</v>
      </c>
      <c r="B891">
        <v>42</v>
      </c>
      <c r="C891">
        <v>3.120000000000001</v>
      </c>
    </row>
    <row r="892" spans="1:3" x14ac:dyDescent="0.25">
      <c r="A892">
        <v>30</v>
      </c>
      <c r="B892">
        <v>44</v>
      </c>
      <c r="C892">
        <v>3.12</v>
      </c>
    </row>
    <row r="893" spans="1:3" x14ac:dyDescent="0.25">
      <c r="A893">
        <v>44</v>
      </c>
      <c r="B893">
        <v>30</v>
      </c>
      <c r="C893">
        <v>3.12</v>
      </c>
    </row>
    <row r="894" spans="1:3" x14ac:dyDescent="0.25">
      <c r="A894">
        <v>39</v>
      </c>
      <c r="B894">
        <v>42</v>
      </c>
      <c r="C894">
        <v>3.09</v>
      </c>
    </row>
    <row r="895" spans="1:3" x14ac:dyDescent="0.25">
      <c r="A895">
        <v>42</v>
      </c>
      <c r="B895">
        <v>39</v>
      </c>
      <c r="C895">
        <v>3.09</v>
      </c>
    </row>
    <row r="896" spans="1:3" x14ac:dyDescent="0.25">
      <c r="A896">
        <v>28</v>
      </c>
      <c r="B896">
        <v>38</v>
      </c>
      <c r="C896">
        <v>3.0799999999999987</v>
      </c>
    </row>
    <row r="897" spans="1:3" x14ac:dyDescent="0.25">
      <c r="A897">
        <v>38</v>
      </c>
      <c r="B897">
        <v>28</v>
      </c>
      <c r="C897">
        <v>3.0799999999999987</v>
      </c>
    </row>
    <row r="898" spans="1:3" x14ac:dyDescent="0.25">
      <c r="A898">
        <v>28</v>
      </c>
      <c r="B898">
        <v>42</v>
      </c>
      <c r="C898">
        <v>3.0799999999999983</v>
      </c>
    </row>
    <row r="899" spans="1:3" x14ac:dyDescent="0.25">
      <c r="A899">
        <v>42</v>
      </c>
      <c r="B899">
        <v>28</v>
      </c>
      <c r="C899">
        <v>3.0799999999999983</v>
      </c>
    </row>
    <row r="900" spans="1:3" x14ac:dyDescent="0.25">
      <c r="A900">
        <v>18</v>
      </c>
      <c r="B900">
        <v>29</v>
      </c>
      <c r="C900">
        <v>3.0700000000000003</v>
      </c>
    </row>
    <row r="901" spans="1:3" x14ac:dyDescent="0.25">
      <c r="A901">
        <v>29</v>
      </c>
      <c r="B901">
        <v>18</v>
      </c>
      <c r="C901">
        <v>3.0700000000000003</v>
      </c>
    </row>
    <row r="902" spans="1:3" x14ac:dyDescent="0.25">
      <c r="A902">
        <v>33</v>
      </c>
      <c r="B902">
        <v>44</v>
      </c>
      <c r="C902">
        <v>3.05</v>
      </c>
    </row>
    <row r="903" spans="1:3" x14ac:dyDescent="0.25">
      <c r="A903">
        <v>44</v>
      </c>
      <c r="B903">
        <v>33</v>
      </c>
      <c r="C903">
        <v>3.05</v>
      </c>
    </row>
    <row r="904" spans="1:3" x14ac:dyDescent="0.25">
      <c r="A904">
        <v>14</v>
      </c>
      <c r="B904">
        <v>41</v>
      </c>
      <c r="C904">
        <v>3.0499999999999949</v>
      </c>
    </row>
    <row r="905" spans="1:3" x14ac:dyDescent="0.25">
      <c r="A905">
        <v>41</v>
      </c>
      <c r="B905">
        <v>14</v>
      </c>
      <c r="C905">
        <v>3.0499999999999949</v>
      </c>
    </row>
    <row r="906" spans="1:3" x14ac:dyDescent="0.25">
      <c r="A906">
        <v>7</v>
      </c>
      <c r="B906">
        <v>32</v>
      </c>
      <c r="C906">
        <v>3.02</v>
      </c>
    </row>
    <row r="907" spans="1:3" x14ac:dyDescent="0.25">
      <c r="A907">
        <v>14</v>
      </c>
      <c r="B907">
        <v>32</v>
      </c>
      <c r="C907">
        <v>3.02</v>
      </c>
    </row>
    <row r="908" spans="1:3" x14ac:dyDescent="0.25">
      <c r="A908">
        <v>32</v>
      </c>
      <c r="B908">
        <v>7</v>
      </c>
      <c r="C908">
        <v>3.02</v>
      </c>
    </row>
    <row r="909" spans="1:3" x14ac:dyDescent="0.25">
      <c r="A909">
        <v>32</v>
      </c>
      <c r="B909">
        <v>14</v>
      </c>
      <c r="C909">
        <v>3.02</v>
      </c>
    </row>
    <row r="910" spans="1:3" x14ac:dyDescent="0.25">
      <c r="A910">
        <v>33</v>
      </c>
      <c r="B910">
        <v>49</v>
      </c>
      <c r="C910">
        <v>3.0199999999999996</v>
      </c>
    </row>
    <row r="911" spans="1:3" x14ac:dyDescent="0.25">
      <c r="A911">
        <v>49</v>
      </c>
      <c r="B911">
        <v>33</v>
      </c>
      <c r="C911">
        <v>3.0199999999999996</v>
      </c>
    </row>
    <row r="912" spans="1:3" x14ac:dyDescent="0.25">
      <c r="A912">
        <v>2</v>
      </c>
      <c r="B912">
        <v>42</v>
      </c>
      <c r="C912">
        <v>3.019999999999996</v>
      </c>
    </row>
    <row r="913" spans="1:3" x14ac:dyDescent="0.25">
      <c r="A913">
        <v>42</v>
      </c>
      <c r="B913">
        <v>2</v>
      </c>
      <c r="C913">
        <v>3.019999999999996</v>
      </c>
    </row>
    <row r="914" spans="1:3" x14ac:dyDescent="0.25">
      <c r="A914">
        <v>17</v>
      </c>
      <c r="B914">
        <v>44</v>
      </c>
      <c r="C914">
        <v>3.0100000000000002</v>
      </c>
    </row>
    <row r="915" spans="1:3" x14ac:dyDescent="0.25">
      <c r="A915">
        <v>44</v>
      </c>
      <c r="B915">
        <v>17</v>
      </c>
      <c r="C915">
        <v>3.0100000000000002</v>
      </c>
    </row>
    <row r="916" spans="1:3" x14ac:dyDescent="0.25">
      <c r="A916">
        <v>2</v>
      </c>
      <c r="B916">
        <v>38</v>
      </c>
      <c r="C916">
        <v>3.0099999999999985</v>
      </c>
    </row>
    <row r="917" spans="1:3" x14ac:dyDescent="0.25">
      <c r="A917">
        <v>38</v>
      </c>
      <c r="B917">
        <v>2</v>
      </c>
      <c r="C917">
        <v>3.0099999999999985</v>
      </c>
    </row>
    <row r="918" spans="1:3" x14ac:dyDescent="0.25">
      <c r="A918">
        <v>8</v>
      </c>
      <c r="B918">
        <v>25</v>
      </c>
      <c r="C918">
        <v>2.9900000000000078</v>
      </c>
    </row>
    <row r="919" spans="1:3" x14ac:dyDescent="0.25">
      <c r="A919">
        <v>10</v>
      </c>
      <c r="B919">
        <v>25</v>
      </c>
      <c r="C919">
        <v>2.9900000000000078</v>
      </c>
    </row>
    <row r="920" spans="1:3" x14ac:dyDescent="0.25">
      <c r="A920">
        <v>25</v>
      </c>
      <c r="B920">
        <v>8</v>
      </c>
      <c r="C920">
        <v>2.9900000000000078</v>
      </c>
    </row>
    <row r="921" spans="1:3" x14ac:dyDescent="0.25">
      <c r="A921">
        <v>25</v>
      </c>
      <c r="B921">
        <v>10</v>
      </c>
      <c r="C921">
        <v>2.9900000000000078</v>
      </c>
    </row>
    <row r="922" spans="1:3" x14ac:dyDescent="0.25">
      <c r="A922">
        <v>41</v>
      </c>
      <c r="B922">
        <v>44</v>
      </c>
      <c r="C922">
        <v>2.99</v>
      </c>
    </row>
    <row r="923" spans="1:3" x14ac:dyDescent="0.25">
      <c r="A923">
        <v>44</v>
      </c>
      <c r="B923">
        <v>41</v>
      </c>
      <c r="C923">
        <v>2.99</v>
      </c>
    </row>
    <row r="924" spans="1:3" x14ac:dyDescent="0.25">
      <c r="A924">
        <v>6</v>
      </c>
      <c r="B924">
        <v>31</v>
      </c>
      <c r="C924">
        <v>2.9799999999999986</v>
      </c>
    </row>
    <row r="925" spans="1:3" x14ac:dyDescent="0.25">
      <c r="A925">
        <v>31</v>
      </c>
      <c r="B925">
        <v>6</v>
      </c>
      <c r="C925">
        <v>2.9799999999999986</v>
      </c>
    </row>
    <row r="926" spans="1:3" x14ac:dyDescent="0.25">
      <c r="A926">
        <v>29</v>
      </c>
      <c r="B926">
        <v>44</v>
      </c>
      <c r="C926">
        <v>2.96</v>
      </c>
    </row>
    <row r="927" spans="1:3" x14ac:dyDescent="0.25">
      <c r="A927">
        <v>44</v>
      </c>
      <c r="B927">
        <v>29</v>
      </c>
      <c r="C927">
        <v>2.96</v>
      </c>
    </row>
    <row r="928" spans="1:3" x14ac:dyDescent="0.25">
      <c r="A928">
        <v>39</v>
      </c>
      <c r="B928">
        <v>47</v>
      </c>
      <c r="C928">
        <v>2.9599999999999991</v>
      </c>
    </row>
    <row r="929" spans="1:3" x14ac:dyDescent="0.25">
      <c r="A929">
        <v>47</v>
      </c>
      <c r="B929">
        <v>39</v>
      </c>
      <c r="C929">
        <v>2.9599999999999991</v>
      </c>
    </row>
    <row r="930" spans="1:3" x14ac:dyDescent="0.25">
      <c r="A930">
        <v>26</v>
      </c>
      <c r="B930">
        <v>45</v>
      </c>
      <c r="C930">
        <v>2.9399999999999995</v>
      </c>
    </row>
    <row r="931" spans="1:3" x14ac:dyDescent="0.25">
      <c r="A931">
        <v>45</v>
      </c>
      <c r="B931">
        <v>26</v>
      </c>
      <c r="C931">
        <v>2.9399999999999995</v>
      </c>
    </row>
    <row r="932" spans="1:3" x14ac:dyDescent="0.25">
      <c r="A932">
        <v>28</v>
      </c>
      <c r="B932">
        <v>39</v>
      </c>
      <c r="C932">
        <v>2.9299999999999979</v>
      </c>
    </row>
    <row r="933" spans="1:3" x14ac:dyDescent="0.25">
      <c r="A933">
        <v>39</v>
      </c>
      <c r="B933">
        <v>28</v>
      </c>
      <c r="C933">
        <v>2.9299999999999979</v>
      </c>
    </row>
    <row r="934" spans="1:3" x14ac:dyDescent="0.25">
      <c r="A934">
        <v>36</v>
      </c>
      <c r="B934">
        <v>41</v>
      </c>
      <c r="C934">
        <v>2.9200000000000004</v>
      </c>
    </row>
    <row r="935" spans="1:3" x14ac:dyDescent="0.25">
      <c r="A935">
        <v>41</v>
      </c>
      <c r="B935">
        <v>36</v>
      </c>
      <c r="C935">
        <v>2.9200000000000004</v>
      </c>
    </row>
    <row r="936" spans="1:3" x14ac:dyDescent="0.25">
      <c r="A936">
        <v>43</v>
      </c>
      <c r="B936">
        <v>44</v>
      </c>
      <c r="C936">
        <v>2.9099999999999993</v>
      </c>
    </row>
    <row r="937" spans="1:3" x14ac:dyDescent="0.25">
      <c r="A937">
        <v>44</v>
      </c>
      <c r="B937">
        <v>43</v>
      </c>
      <c r="C937">
        <v>2.9099999999999993</v>
      </c>
    </row>
    <row r="938" spans="1:3" x14ac:dyDescent="0.25">
      <c r="A938">
        <v>17</v>
      </c>
      <c r="B938">
        <v>24</v>
      </c>
      <c r="C938">
        <v>2.9000000000000004</v>
      </c>
    </row>
    <row r="939" spans="1:3" x14ac:dyDescent="0.25">
      <c r="A939">
        <v>24</v>
      </c>
      <c r="B939">
        <v>17</v>
      </c>
      <c r="C939">
        <v>2.9000000000000004</v>
      </c>
    </row>
    <row r="940" spans="1:3" x14ac:dyDescent="0.25">
      <c r="A940">
        <v>32</v>
      </c>
      <c r="B940">
        <v>49</v>
      </c>
      <c r="C940">
        <v>2.88</v>
      </c>
    </row>
    <row r="941" spans="1:3" x14ac:dyDescent="0.25">
      <c r="A941">
        <v>49</v>
      </c>
      <c r="B941">
        <v>32</v>
      </c>
      <c r="C941">
        <v>2.88</v>
      </c>
    </row>
    <row r="942" spans="1:3" x14ac:dyDescent="0.25">
      <c r="A942">
        <v>42</v>
      </c>
      <c r="B942">
        <v>50</v>
      </c>
      <c r="C942">
        <v>2.879999999999999</v>
      </c>
    </row>
    <row r="943" spans="1:3" x14ac:dyDescent="0.25">
      <c r="A943">
        <v>50</v>
      </c>
      <c r="B943">
        <v>42</v>
      </c>
      <c r="C943">
        <v>2.879999999999999</v>
      </c>
    </row>
    <row r="944" spans="1:3" x14ac:dyDescent="0.25">
      <c r="A944">
        <v>3</v>
      </c>
      <c r="B944">
        <v>42</v>
      </c>
      <c r="C944">
        <v>2.8799999999999955</v>
      </c>
    </row>
    <row r="945" spans="1:3" x14ac:dyDescent="0.25">
      <c r="A945">
        <v>42</v>
      </c>
      <c r="B945">
        <v>3</v>
      </c>
      <c r="C945">
        <v>2.8799999999999955</v>
      </c>
    </row>
    <row r="946" spans="1:3" x14ac:dyDescent="0.25">
      <c r="A946">
        <v>2</v>
      </c>
      <c r="B946">
        <v>39</v>
      </c>
      <c r="C946">
        <v>2.8599999999999977</v>
      </c>
    </row>
    <row r="947" spans="1:3" x14ac:dyDescent="0.25">
      <c r="A947">
        <v>39</v>
      </c>
      <c r="B947">
        <v>2</v>
      </c>
      <c r="C947">
        <v>2.8599999999999977</v>
      </c>
    </row>
    <row r="948" spans="1:3" x14ac:dyDescent="0.25">
      <c r="A948">
        <v>38</v>
      </c>
      <c r="B948">
        <v>46</v>
      </c>
      <c r="C948">
        <v>2.8499999999999996</v>
      </c>
    </row>
    <row r="949" spans="1:3" x14ac:dyDescent="0.25">
      <c r="A949">
        <v>46</v>
      </c>
      <c r="B949">
        <v>38</v>
      </c>
      <c r="C949">
        <v>2.8499999999999996</v>
      </c>
    </row>
    <row r="950" spans="1:3" x14ac:dyDescent="0.25">
      <c r="A950">
        <v>5</v>
      </c>
      <c r="B950">
        <v>33</v>
      </c>
      <c r="C950">
        <v>2.8400000000000043</v>
      </c>
    </row>
    <row r="951" spans="1:3" x14ac:dyDescent="0.25">
      <c r="A951">
        <v>33</v>
      </c>
      <c r="B951">
        <v>5</v>
      </c>
      <c r="C951">
        <v>2.8400000000000043</v>
      </c>
    </row>
    <row r="952" spans="1:3" x14ac:dyDescent="0.25">
      <c r="A952">
        <v>6</v>
      </c>
      <c r="B952">
        <v>27</v>
      </c>
      <c r="C952">
        <v>2.8400000000000021</v>
      </c>
    </row>
    <row r="953" spans="1:3" x14ac:dyDescent="0.25">
      <c r="A953">
        <v>27</v>
      </c>
      <c r="B953">
        <v>6</v>
      </c>
      <c r="C953">
        <v>2.8400000000000021</v>
      </c>
    </row>
    <row r="954" spans="1:3" x14ac:dyDescent="0.25">
      <c r="A954">
        <v>30</v>
      </c>
      <c r="B954">
        <v>42</v>
      </c>
      <c r="C954">
        <v>2.8100000000000005</v>
      </c>
    </row>
    <row r="955" spans="1:3" x14ac:dyDescent="0.25">
      <c r="A955">
        <v>42</v>
      </c>
      <c r="B955">
        <v>30</v>
      </c>
      <c r="C955">
        <v>2.8100000000000005</v>
      </c>
    </row>
    <row r="956" spans="1:3" x14ac:dyDescent="0.25">
      <c r="A956">
        <v>32</v>
      </c>
      <c r="B956">
        <v>33</v>
      </c>
      <c r="C956">
        <v>2.8000000000000003</v>
      </c>
    </row>
    <row r="957" spans="1:3" x14ac:dyDescent="0.25">
      <c r="A957">
        <v>33</v>
      </c>
      <c r="B957">
        <v>32</v>
      </c>
      <c r="C957">
        <v>2.8000000000000003</v>
      </c>
    </row>
    <row r="958" spans="1:3" x14ac:dyDescent="0.25">
      <c r="A958">
        <v>30</v>
      </c>
      <c r="B958">
        <v>46</v>
      </c>
      <c r="C958">
        <v>2.79</v>
      </c>
    </row>
    <row r="959" spans="1:3" x14ac:dyDescent="0.25">
      <c r="A959">
        <v>46</v>
      </c>
      <c r="B959">
        <v>30</v>
      </c>
      <c r="C959">
        <v>2.79</v>
      </c>
    </row>
    <row r="960" spans="1:3" x14ac:dyDescent="0.25">
      <c r="A960">
        <v>3</v>
      </c>
      <c r="B960">
        <v>38</v>
      </c>
      <c r="C960">
        <v>2.7800000000000016</v>
      </c>
    </row>
    <row r="961" spans="1:3" x14ac:dyDescent="0.25">
      <c r="A961">
        <v>38</v>
      </c>
      <c r="B961">
        <v>3</v>
      </c>
      <c r="C961">
        <v>2.7800000000000016</v>
      </c>
    </row>
    <row r="962" spans="1:3" x14ac:dyDescent="0.25">
      <c r="A962">
        <v>23</v>
      </c>
      <c r="B962">
        <v>44</v>
      </c>
      <c r="C962">
        <v>2.7800000000000002</v>
      </c>
    </row>
    <row r="963" spans="1:3" x14ac:dyDescent="0.25">
      <c r="A963">
        <v>44</v>
      </c>
      <c r="B963">
        <v>23</v>
      </c>
      <c r="C963">
        <v>2.7800000000000002</v>
      </c>
    </row>
    <row r="964" spans="1:3" x14ac:dyDescent="0.25">
      <c r="A964">
        <v>34</v>
      </c>
      <c r="B964">
        <v>34</v>
      </c>
      <c r="C964">
        <v>2.74</v>
      </c>
    </row>
    <row r="965" spans="1:3" x14ac:dyDescent="0.25">
      <c r="A965">
        <v>34</v>
      </c>
      <c r="B965">
        <v>41</v>
      </c>
      <c r="C965">
        <v>2.74</v>
      </c>
    </row>
    <row r="966" spans="1:3" x14ac:dyDescent="0.25">
      <c r="A966">
        <v>41</v>
      </c>
      <c r="B966">
        <v>34</v>
      </c>
      <c r="C966">
        <v>2.74</v>
      </c>
    </row>
    <row r="967" spans="1:3" x14ac:dyDescent="0.25">
      <c r="A967">
        <v>34</v>
      </c>
      <c r="B967">
        <v>38</v>
      </c>
      <c r="C967">
        <v>2.73</v>
      </c>
    </row>
    <row r="968" spans="1:3" x14ac:dyDescent="0.25">
      <c r="A968">
        <v>38</v>
      </c>
      <c r="B968">
        <v>34</v>
      </c>
      <c r="C968">
        <v>2.73</v>
      </c>
    </row>
    <row r="969" spans="1:3" x14ac:dyDescent="0.25">
      <c r="A969">
        <v>29</v>
      </c>
      <c r="B969">
        <v>46</v>
      </c>
      <c r="C969">
        <v>2.7199999999999998</v>
      </c>
    </row>
    <row r="970" spans="1:3" x14ac:dyDescent="0.25">
      <c r="A970">
        <v>34</v>
      </c>
      <c r="B970">
        <v>43</v>
      </c>
      <c r="C970">
        <v>2.7199999999999998</v>
      </c>
    </row>
    <row r="971" spans="1:3" x14ac:dyDescent="0.25">
      <c r="A971">
        <v>43</v>
      </c>
      <c r="B971">
        <v>34</v>
      </c>
      <c r="C971">
        <v>2.7199999999999998</v>
      </c>
    </row>
    <row r="972" spans="1:3" x14ac:dyDescent="0.25">
      <c r="A972">
        <v>46</v>
      </c>
      <c r="B972">
        <v>29</v>
      </c>
      <c r="C972">
        <v>2.7199999999999998</v>
      </c>
    </row>
    <row r="973" spans="1:3" x14ac:dyDescent="0.25">
      <c r="A973">
        <v>12</v>
      </c>
      <c r="B973">
        <v>41</v>
      </c>
      <c r="C973">
        <v>2.7100000000000057</v>
      </c>
    </row>
    <row r="974" spans="1:3" x14ac:dyDescent="0.25">
      <c r="A974">
        <v>41</v>
      </c>
      <c r="B974">
        <v>12</v>
      </c>
      <c r="C974">
        <v>2.7100000000000057</v>
      </c>
    </row>
    <row r="975" spans="1:3" x14ac:dyDescent="0.25">
      <c r="A975">
        <v>16</v>
      </c>
      <c r="B975">
        <v>46</v>
      </c>
      <c r="C975">
        <v>2.71</v>
      </c>
    </row>
    <row r="976" spans="1:3" x14ac:dyDescent="0.25">
      <c r="A976">
        <v>17</v>
      </c>
      <c r="B976">
        <v>35</v>
      </c>
      <c r="C976">
        <v>2.71</v>
      </c>
    </row>
    <row r="977" spans="1:3" x14ac:dyDescent="0.25">
      <c r="A977">
        <v>29</v>
      </c>
      <c r="B977">
        <v>34</v>
      </c>
      <c r="C977">
        <v>2.71</v>
      </c>
    </row>
    <row r="978" spans="1:3" x14ac:dyDescent="0.25">
      <c r="A978">
        <v>33</v>
      </c>
      <c r="B978">
        <v>43</v>
      </c>
      <c r="C978">
        <v>2.71</v>
      </c>
    </row>
    <row r="979" spans="1:3" x14ac:dyDescent="0.25">
      <c r="A979">
        <v>34</v>
      </c>
      <c r="B979">
        <v>29</v>
      </c>
      <c r="C979">
        <v>2.71</v>
      </c>
    </row>
    <row r="980" spans="1:3" x14ac:dyDescent="0.25">
      <c r="A980">
        <v>35</v>
      </c>
      <c r="B980">
        <v>17</v>
      </c>
      <c r="C980">
        <v>2.71</v>
      </c>
    </row>
    <row r="981" spans="1:3" x14ac:dyDescent="0.25">
      <c r="A981">
        <v>43</v>
      </c>
      <c r="B981">
        <v>33</v>
      </c>
      <c r="C981">
        <v>2.71</v>
      </c>
    </row>
    <row r="982" spans="1:3" x14ac:dyDescent="0.25">
      <c r="A982">
        <v>46</v>
      </c>
      <c r="B982">
        <v>16</v>
      </c>
      <c r="C982">
        <v>2.71</v>
      </c>
    </row>
    <row r="983" spans="1:3" x14ac:dyDescent="0.25">
      <c r="A983">
        <v>19</v>
      </c>
      <c r="B983">
        <v>25</v>
      </c>
      <c r="C983">
        <v>2.7099999999999995</v>
      </c>
    </row>
    <row r="984" spans="1:3" x14ac:dyDescent="0.25">
      <c r="A984">
        <v>25</v>
      </c>
      <c r="B984">
        <v>19</v>
      </c>
      <c r="C984">
        <v>2.7099999999999995</v>
      </c>
    </row>
    <row r="985" spans="1:3" x14ac:dyDescent="0.25">
      <c r="A985">
        <v>22</v>
      </c>
      <c r="B985">
        <v>22</v>
      </c>
      <c r="C985">
        <v>2.7</v>
      </c>
    </row>
    <row r="986" spans="1:3" x14ac:dyDescent="0.25">
      <c r="A986">
        <v>34</v>
      </c>
      <c r="B986">
        <v>35</v>
      </c>
      <c r="C986">
        <v>2.7</v>
      </c>
    </row>
    <row r="987" spans="1:3" x14ac:dyDescent="0.25">
      <c r="A987">
        <v>35</v>
      </c>
      <c r="B987">
        <v>34</v>
      </c>
      <c r="C987">
        <v>2.7</v>
      </c>
    </row>
    <row r="988" spans="1:3" x14ac:dyDescent="0.25">
      <c r="A988">
        <v>38</v>
      </c>
      <c r="B988">
        <v>50</v>
      </c>
      <c r="C988">
        <v>2.6999999999999997</v>
      </c>
    </row>
    <row r="989" spans="1:3" x14ac:dyDescent="0.25">
      <c r="A989">
        <v>50</v>
      </c>
      <c r="B989">
        <v>38</v>
      </c>
      <c r="C989">
        <v>2.6999999999999997</v>
      </c>
    </row>
    <row r="990" spans="1:3" x14ac:dyDescent="0.25">
      <c r="A990">
        <v>4</v>
      </c>
      <c r="B990">
        <v>14</v>
      </c>
      <c r="C990">
        <v>2.6999999999999957</v>
      </c>
    </row>
    <row r="991" spans="1:3" x14ac:dyDescent="0.25">
      <c r="A991">
        <v>14</v>
      </c>
      <c r="B991">
        <v>4</v>
      </c>
      <c r="C991">
        <v>2.6999999999999957</v>
      </c>
    </row>
    <row r="992" spans="1:3" x14ac:dyDescent="0.25">
      <c r="A992">
        <v>4</v>
      </c>
      <c r="B992">
        <v>26</v>
      </c>
      <c r="C992">
        <v>2.6999999999999895</v>
      </c>
    </row>
    <row r="993" spans="1:3" x14ac:dyDescent="0.25">
      <c r="A993">
        <v>26</v>
      </c>
      <c r="B993">
        <v>4</v>
      </c>
      <c r="C993">
        <v>2.6999999999999895</v>
      </c>
    </row>
    <row r="994" spans="1:3" x14ac:dyDescent="0.25">
      <c r="A994">
        <v>6</v>
      </c>
      <c r="B994">
        <v>15</v>
      </c>
      <c r="C994">
        <v>2.6900000000000031</v>
      </c>
    </row>
    <row r="995" spans="1:3" x14ac:dyDescent="0.25">
      <c r="A995">
        <v>15</v>
      </c>
      <c r="B995">
        <v>6</v>
      </c>
      <c r="C995">
        <v>2.6900000000000031</v>
      </c>
    </row>
    <row r="996" spans="1:3" x14ac:dyDescent="0.25">
      <c r="A996">
        <v>34</v>
      </c>
      <c r="B996">
        <v>39</v>
      </c>
      <c r="C996">
        <v>2.69</v>
      </c>
    </row>
    <row r="997" spans="1:3" x14ac:dyDescent="0.25">
      <c r="A997">
        <v>39</v>
      </c>
      <c r="B997">
        <v>34</v>
      </c>
      <c r="C997">
        <v>2.69</v>
      </c>
    </row>
    <row r="998" spans="1:3" x14ac:dyDescent="0.25">
      <c r="A998">
        <v>41</v>
      </c>
      <c r="B998">
        <v>46</v>
      </c>
      <c r="C998">
        <v>2.68</v>
      </c>
    </row>
    <row r="999" spans="1:3" x14ac:dyDescent="0.25">
      <c r="A999">
        <v>46</v>
      </c>
      <c r="B999">
        <v>41</v>
      </c>
      <c r="C999">
        <v>2.68</v>
      </c>
    </row>
    <row r="1000" spans="1:3" x14ac:dyDescent="0.25">
      <c r="A1000">
        <v>42</v>
      </c>
      <c r="B1000">
        <v>48</v>
      </c>
      <c r="C1000">
        <v>2.6799999999999997</v>
      </c>
    </row>
    <row r="1001" spans="1:3" x14ac:dyDescent="0.25">
      <c r="A1001">
        <v>48</v>
      </c>
      <c r="B1001">
        <v>42</v>
      </c>
      <c r="C1001">
        <v>2.6799999999999997</v>
      </c>
    </row>
    <row r="1002" spans="1:3" x14ac:dyDescent="0.25">
      <c r="A1002">
        <v>15</v>
      </c>
      <c r="B1002">
        <v>22</v>
      </c>
      <c r="C1002">
        <v>2.6700000000000004</v>
      </c>
    </row>
    <row r="1003" spans="1:3" x14ac:dyDescent="0.25">
      <c r="A1003">
        <v>22</v>
      </c>
      <c r="B1003">
        <v>15</v>
      </c>
      <c r="C1003">
        <v>2.6700000000000004</v>
      </c>
    </row>
    <row r="1004" spans="1:3" x14ac:dyDescent="0.25">
      <c r="A1004">
        <v>30</v>
      </c>
      <c r="B1004">
        <v>34</v>
      </c>
      <c r="C1004">
        <v>2.6700000000000004</v>
      </c>
    </row>
    <row r="1005" spans="1:3" x14ac:dyDescent="0.25">
      <c r="A1005">
        <v>34</v>
      </c>
      <c r="B1005">
        <v>30</v>
      </c>
      <c r="C1005">
        <v>2.6700000000000004</v>
      </c>
    </row>
    <row r="1006" spans="1:3" x14ac:dyDescent="0.25">
      <c r="A1006">
        <v>17</v>
      </c>
      <c r="B1006">
        <v>27</v>
      </c>
      <c r="C1006">
        <v>2.67</v>
      </c>
    </row>
    <row r="1007" spans="1:3" x14ac:dyDescent="0.25">
      <c r="A1007">
        <v>27</v>
      </c>
      <c r="B1007">
        <v>17</v>
      </c>
      <c r="C1007">
        <v>2.67</v>
      </c>
    </row>
    <row r="1008" spans="1:3" x14ac:dyDescent="0.25">
      <c r="A1008">
        <v>27</v>
      </c>
      <c r="B1008">
        <v>45</v>
      </c>
      <c r="C1008">
        <v>2.67</v>
      </c>
    </row>
    <row r="1009" spans="1:3" x14ac:dyDescent="0.25">
      <c r="A1009">
        <v>45</v>
      </c>
      <c r="B1009">
        <v>27</v>
      </c>
      <c r="C1009">
        <v>2.67</v>
      </c>
    </row>
    <row r="1010" spans="1:3" x14ac:dyDescent="0.25">
      <c r="A1010">
        <v>33</v>
      </c>
      <c r="B1010">
        <v>38</v>
      </c>
      <c r="C1010">
        <v>2.6699999999999995</v>
      </c>
    </row>
    <row r="1011" spans="1:3" x14ac:dyDescent="0.25">
      <c r="A1011">
        <v>38</v>
      </c>
      <c r="B1011">
        <v>33</v>
      </c>
      <c r="C1011">
        <v>2.6699999999999995</v>
      </c>
    </row>
    <row r="1012" spans="1:3" x14ac:dyDescent="0.25">
      <c r="A1012">
        <v>4</v>
      </c>
      <c r="B1012">
        <v>22</v>
      </c>
      <c r="C1012">
        <v>2.6600000000000024</v>
      </c>
    </row>
    <row r="1013" spans="1:3" x14ac:dyDescent="0.25">
      <c r="A1013">
        <v>22</v>
      </c>
      <c r="B1013">
        <v>4</v>
      </c>
      <c r="C1013">
        <v>2.6600000000000024</v>
      </c>
    </row>
    <row r="1014" spans="1:3" x14ac:dyDescent="0.25">
      <c r="A1014">
        <v>35</v>
      </c>
      <c r="B1014">
        <v>36</v>
      </c>
      <c r="C1014">
        <v>2.6600000000000006</v>
      </c>
    </row>
    <row r="1015" spans="1:3" x14ac:dyDescent="0.25">
      <c r="A1015">
        <v>36</v>
      </c>
      <c r="B1015">
        <v>35</v>
      </c>
      <c r="C1015">
        <v>2.6600000000000006</v>
      </c>
    </row>
    <row r="1016" spans="1:3" x14ac:dyDescent="0.25">
      <c r="A1016">
        <v>14</v>
      </c>
      <c r="B1016">
        <v>30</v>
      </c>
      <c r="C1016">
        <v>2.6599999999999979</v>
      </c>
    </row>
    <row r="1017" spans="1:3" x14ac:dyDescent="0.25">
      <c r="A1017">
        <v>30</v>
      </c>
      <c r="B1017">
        <v>14</v>
      </c>
      <c r="C1017">
        <v>2.6599999999999979</v>
      </c>
    </row>
    <row r="1018" spans="1:3" x14ac:dyDescent="0.25">
      <c r="A1018">
        <v>24</v>
      </c>
      <c r="B1018">
        <v>42</v>
      </c>
      <c r="C1018">
        <v>2.6500000000000004</v>
      </c>
    </row>
    <row r="1019" spans="1:3" x14ac:dyDescent="0.25">
      <c r="A1019">
        <v>42</v>
      </c>
      <c r="B1019">
        <v>24</v>
      </c>
      <c r="C1019">
        <v>2.6500000000000004</v>
      </c>
    </row>
    <row r="1020" spans="1:3" x14ac:dyDescent="0.25">
      <c r="A1020">
        <v>18</v>
      </c>
      <c r="B1020">
        <v>49</v>
      </c>
      <c r="C1020">
        <v>2.6400000000000006</v>
      </c>
    </row>
    <row r="1021" spans="1:3" x14ac:dyDescent="0.25">
      <c r="A1021">
        <v>22</v>
      </c>
      <c r="B1021">
        <v>31</v>
      </c>
      <c r="C1021">
        <v>2.6400000000000006</v>
      </c>
    </row>
    <row r="1022" spans="1:3" x14ac:dyDescent="0.25">
      <c r="A1022">
        <v>31</v>
      </c>
      <c r="B1022">
        <v>22</v>
      </c>
      <c r="C1022">
        <v>2.6400000000000006</v>
      </c>
    </row>
    <row r="1023" spans="1:3" x14ac:dyDescent="0.25">
      <c r="A1023">
        <v>49</v>
      </c>
      <c r="B1023">
        <v>18</v>
      </c>
      <c r="C1023">
        <v>2.6400000000000006</v>
      </c>
    </row>
    <row r="1024" spans="1:3" x14ac:dyDescent="0.25">
      <c r="A1024">
        <v>25</v>
      </c>
      <c r="B1024">
        <v>44</v>
      </c>
      <c r="C1024">
        <v>2.6399999999999997</v>
      </c>
    </row>
    <row r="1025" spans="1:3" x14ac:dyDescent="0.25">
      <c r="A1025">
        <v>44</v>
      </c>
      <c r="B1025">
        <v>25</v>
      </c>
      <c r="C1025">
        <v>2.6399999999999997</v>
      </c>
    </row>
    <row r="1026" spans="1:3" x14ac:dyDescent="0.25">
      <c r="A1026">
        <v>23</v>
      </c>
      <c r="B1026">
        <v>34</v>
      </c>
      <c r="C1026">
        <v>2.62</v>
      </c>
    </row>
    <row r="1027" spans="1:3" x14ac:dyDescent="0.25">
      <c r="A1027">
        <v>34</v>
      </c>
      <c r="B1027">
        <v>23</v>
      </c>
      <c r="C1027">
        <v>2.62</v>
      </c>
    </row>
    <row r="1028" spans="1:3" x14ac:dyDescent="0.25">
      <c r="A1028">
        <v>43</v>
      </c>
      <c r="B1028">
        <v>46</v>
      </c>
      <c r="C1028">
        <v>2.62</v>
      </c>
    </row>
    <row r="1029" spans="1:3" x14ac:dyDescent="0.25">
      <c r="A1029">
        <v>46</v>
      </c>
      <c r="B1029">
        <v>43</v>
      </c>
      <c r="C1029">
        <v>2.62</v>
      </c>
    </row>
    <row r="1030" spans="1:3" x14ac:dyDescent="0.25">
      <c r="A1030">
        <v>12</v>
      </c>
      <c r="B1030">
        <v>35</v>
      </c>
      <c r="C1030">
        <v>2.6199999999999983</v>
      </c>
    </row>
    <row r="1031" spans="1:3" x14ac:dyDescent="0.25">
      <c r="A1031">
        <v>35</v>
      </c>
      <c r="B1031">
        <v>12</v>
      </c>
      <c r="C1031">
        <v>2.6199999999999983</v>
      </c>
    </row>
    <row r="1032" spans="1:3" x14ac:dyDescent="0.25">
      <c r="A1032">
        <v>3</v>
      </c>
      <c r="B1032">
        <v>39</v>
      </c>
      <c r="C1032">
        <v>2.6099999999999977</v>
      </c>
    </row>
    <row r="1033" spans="1:3" x14ac:dyDescent="0.25">
      <c r="A1033">
        <v>39</v>
      </c>
      <c r="B1033">
        <v>3</v>
      </c>
      <c r="C1033">
        <v>2.6099999999999977</v>
      </c>
    </row>
    <row r="1034" spans="1:3" x14ac:dyDescent="0.25">
      <c r="A1034">
        <v>17</v>
      </c>
      <c r="B1034">
        <v>39</v>
      </c>
      <c r="C1034">
        <v>2.6</v>
      </c>
    </row>
    <row r="1035" spans="1:3" x14ac:dyDescent="0.25">
      <c r="A1035">
        <v>39</v>
      </c>
      <c r="B1035">
        <v>17</v>
      </c>
      <c r="C1035">
        <v>2.6</v>
      </c>
    </row>
    <row r="1036" spans="1:3" x14ac:dyDescent="0.25">
      <c r="A1036">
        <v>15</v>
      </c>
      <c r="B1036">
        <v>30</v>
      </c>
      <c r="C1036">
        <v>2.5900000000000003</v>
      </c>
    </row>
    <row r="1037" spans="1:3" x14ac:dyDescent="0.25">
      <c r="A1037">
        <v>30</v>
      </c>
      <c r="B1037">
        <v>15</v>
      </c>
      <c r="C1037">
        <v>2.5900000000000003</v>
      </c>
    </row>
    <row r="1038" spans="1:3" x14ac:dyDescent="0.25">
      <c r="A1038">
        <v>26</v>
      </c>
      <c r="B1038">
        <v>36</v>
      </c>
      <c r="C1038">
        <v>2.59</v>
      </c>
    </row>
    <row r="1039" spans="1:3" x14ac:dyDescent="0.25">
      <c r="A1039">
        <v>36</v>
      </c>
      <c r="B1039">
        <v>26</v>
      </c>
      <c r="C1039">
        <v>2.59</v>
      </c>
    </row>
    <row r="1040" spans="1:3" x14ac:dyDescent="0.25">
      <c r="A1040">
        <v>36</v>
      </c>
      <c r="B1040">
        <v>38</v>
      </c>
      <c r="C1040">
        <v>2.59</v>
      </c>
    </row>
    <row r="1041" spans="1:3" x14ac:dyDescent="0.25">
      <c r="A1041">
        <v>38</v>
      </c>
      <c r="B1041">
        <v>36</v>
      </c>
      <c r="C1041">
        <v>2.59</v>
      </c>
    </row>
    <row r="1042" spans="1:3" x14ac:dyDescent="0.25">
      <c r="A1042">
        <v>12</v>
      </c>
      <c r="B1042">
        <v>42</v>
      </c>
      <c r="C1042">
        <v>2.5799999999999983</v>
      </c>
    </row>
    <row r="1043" spans="1:3" x14ac:dyDescent="0.25">
      <c r="A1043">
        <v>42</v>
      </c>
      <c r="B1043">
        <v>12</v>
      </c>
      <c r="C1043">
        <v>2.5799999999999983</v>
      </c>
    </row>
    <row r="1044" spans="1:3" x14ac:dyDescent="0.25">
      <c r="A1044">
        <v>24</v>
      </c>
      <c r="B1044">
        <v>34</v>
      </c>
      <c r="C1044">
        <v>2.5600000000000005</v>
      </c>
    </row>
    <row r="1045" spans="1:3" x14ac:dyDescent="0.25">
      <c r="A1045">
        <v>34</v>
      </c>
      <c r="B1045">
        <v>24</v>
      </c>
      <c r="C1045">
        <v>2.5600000000000005</v>
      </c>
    </row>
    <row r="1046" spans="1:3" x14ac:dyDescent="0.25">
      <c r="A1046">
        <v>22</v>
      </c>
      <c r="B1046">
        <v>42</v>
      </c>
      <c r="C1046">
        <v>2.56</v>
      </c>
    </row>
    <row r="1047" spans="1:3" x14ac:dyDescent="0.25">
      <c r="A1047">
        <v>42</v>
      </c>
      <c r="B1047">
        <v>22</v>
      </c>
      <c r="C1047">
        <v>2.56</v>
      </c>
    </row>
    <row r="1048" spans="1:3" x14ac:dyDescent="0.25">
      <c r="A1048">
        <v>30</v>
      </c>
      <c r="B1048">
        <v>31</v>
      </c>
      <c r="C1048">
        <v>2.5500000000000003</v>
      </c>
    </row>
    <row r="1049" spans="1:3" x14ac:dyDescent="0.25">
      <c r="A1049">
        <v>31</v>
      </c>
      <c r="B1049">
        <v>30</v>
      </c>
      <c r="C1049">
        <v>2.5500000000000003</v>
      </c>
    </row>
    <row r="1050" spans="1:3" x14ac:dyDescent="0.25">
      <c r="A1050">
        <v>18</v>
      </c>
      <c r="B1050">
        <v>37</v>
      </c>
      <c r="C1050">
        <v>2.54</v>
      </c>
    </row>
    <row r="1051" spans="1:3" x14ac:dyDescent="0.25">
      <c r="A1051">
        <v>37</v>
      </c>
      <c r="B1051">
        <v>18</v>
      </c>
      <c r="C1051">
        <v>2.54</v>
      </c>
    </row>
    <row r="1052" spans="1:3" x14ac:dyDescent="0.25">
      <c r="A1052">
        <v>7</v>
      </c>
      <c r="B1052">
        <v>26</v>
      </c>
      <c r="C1052">
        <v>2.530000000000002</v>
      </c>
    </row>
    <row r="1053" spans="1:3" x14ac:dyDescent="0.25">
      <c r="A1053">
        <v>26</v>
      </c>
      <c r="B1053">
        <v>7</v>
      </c>
      <c r="C1053">
        <v>2.530000000000002</v>
      </c>
    </row>
    <row r="1054" spans="1:3" x14ac:dyDescent="0.25">
      <c r="A1054">
        <v>39</v>
      </c>
      <c r="B1054">
        <v>50</v>
      </c>
      <c r="C1054">
        <v>2.5299999999999994</v>
      </c>
    </row>
    <row r="1055" spans="1:3" x14ac:dyDescent="0.25">
      <c r="A1055">
        <v>50</v>
      </c>
      <c r="B1055">
        <v>39</v>
      </c>
      <c r="C1055">
        <v>2.5299999999999994</v>
      </c>
    </row>
    <row r="1056" spans="1:3" x14ac:dyDescent="0.25">
      <c r="A1056">
        <v>15</v>
      </c>
      <c r="B1056">
        <v>24</v>
      </c>
      <c r="C1056">
        <v>2.5200000000000005</v>
      </c>
    </row>
    <row r="1057" spans="1:3" x14ac:dyDescent="0.25">
      <c r="A1057">
        <v>22</v>
      </c>
      <c r="B1057">
        <v>36</v>
      </c>
      <c r="C1057">
        <v>2.5200000000000005</v>
      </c>
    </row>
    <row r="1058" spans="1:3" x14ac:dyDescent="0.25">
      <c r="A1058">
        <v>24</v>
      </c>
      <c r="B1058">
        <v>15</v>
      </c>
      <c r="C1058">
        <v>2.5200000000000005</v>
      </c>
    </row>
    <row r="1059" spans="1:3" x14ac:dyDescent="0.25">
      <c r="A1059">
        <v>24</v>
      </c>
      <c r="B1059">
        <v>31</v>
      </c>
      <c r="C1059">
        <v>2.5200000000000005</v>
      </c>
    </row>
    <row r="1060" spans="1:3" x14ac:dyDescent="0.25">
      <c r="A1060">
        <v>31</v>
      </c>
      <c r="B1060">
        <v>24</v>
      </c>
      <c r="C1060">
        <v>2.5200000000000005</v>
      </c>
    </row>
    <row r="1061" spans="1:3" x14ac:dyDescent="0.25">
      <c r="A1061">
        <v>36</v>
      </c>
      <c r="B1061">
        <v>22</v>
      </c>
      <c r="C1061">
        <v>2.5200000000000005</v>
      </c>
    </row>
    <row r="1062" spans="1:3" x14ac:dyDescent="0.25">
      <c r="A1062">
        <v>25</v>
      </c>
      <c r="B1062">
        <v>27</v>
      </c>
      <c r="C1062">
        <v>2.4799999999999995</v>
      </c>
    </row>
    <row r="1063" spans="1:3" x14ac:dyDescent="0.25">
      <c r="A1063">
        <v>27</v>
      </c>
      <c r="B1063">
        <v>25</v>
      </c>
      <c r="C1063">
        <v>2.4799999999999995</v>
      </c>
    </row>
    <row r="1064" spans="1:3" x14ac:dyDescent="0.25">
      <c r="A1064">
        <v>26</v>
      </c>
      <c r="B1064">
        <v>31</v>
      </c>
      <c r="C1064">
        <v>2.4700000000000006</v>
      </c>
    </row>
    <row r="1065" spans="1:3" x14ac:dyDescent="0.25">
      <c r="A1065">
        <v>31</v>
      </c>
      <c r="B1065">
        <v>26</v>
      </c>
      <c r="C1065">
        <v>2.4700000000000006</v>
      </c>
    </row>
    <row r="1066" spans="1:3" x14ac:dyDescent="0.25">
      <c r="A1066">
        <v>33</v>
      </c>
      <c r="B1066">
        <v>41</v>
      </c>
      <c r="C1066">
        <v>2.4700000000000002</v>
      </c>
    </row>
    <row r="1067" spans="1:3" x14ac:dyDescent="0.25">
      <c r="A1067">
        <v>41</v>
      </c>
      <c r="B1067">
        <v>33</v>
      </c>
      <c r="C1067">
        <v>2.4700000000000002</v>
      </c>
    </row>
    <row r="1068" spans="1:3" x14ac:dyDescent="0.25">
      <c r="A1068">
        <v>22</v>
      </c>
      <c r="B1068">
        <v>29</v>
      </c>
      <c r="C1068">
        <v>2.4599999999999995</v>
      </c>
    </row>
    <row r="1069" spans="1:3" x14ac:dyDescent="0.25">
      <c r="A1069">
        <v>29</v>
      </c>
      <c r="B1069">
        <v>22</v>
      </c>
      <c r="C1069">
        <v>2.4599999999999995</v>
      </c>
    </row>
    <row r="1070" spans="1:3" x14ac:dyDescent="0.25">
      <c r="A1070">
        <v>7</v>
      </c>
      <c r="B1070">
        <v>31</v>
      </c>
      <c r="C1070">
        <v>2.4400000000000066</v>
      </c>
    </row>
    <row r="1071" spans="1:3" x14ac:dyDescent="0.25">
      <c r="A1071">
        <v>31</v>
      </c>
      <c r="B1071">
        <v>7</v>
      </c>
      <c r="C1071">
        <v>2.4400000000000066</v>
      </c>
    </row>
    <row r="1072" spans="1:3" x14ac:dyDescent="0.25">
      <c r="A1072">
        <v>23</v>
      </c>
      <c r="B1072">
        <v>46</v>
      </c>
      <c r="C1072">
        <v>2.44</v>
      </c>
    </row>
    <row r="1073" spans="1:3" x14ac:dyDescent="0.25">
      <c r="A1073">
        <v>46</v>
      </c>
      <c r="B1073">
        <v>23</v>
      </c>
      <c r="C1073">
        <v>2.44</v>
      </c>
    </row>
    <row r="1074" spans="1:3" x14ac:dyDescent="0.25">
      <c r="A1074">
        <v>13</v>
      </c>
      <c r="B1074">
        <v>43</v>
      </c>
      <c r="C1074">
        <v>2.4399999999999995</v>
      </c>
    </row>
    <row r="1075" spans="1:3" x14ac:dyDescent="0.25">
      <c r="A1075">
        <v>43</v>
      </c>
      <c r="B1075">
        <v>13</v>
      </c>
      <c r="C1075">
        <v>2.4399999999999995</v>
      </c>
    </row>
    <row r="1076" spans="1:3" x14ac:dyDescent="0.25">
      <c r="A1076">
        <v>23</v>
      </c>
      <c r="B1076">
        <v>42</v>
      </c>
      <c r="C1076">
        <v>2.4300000000000002</v>
      </c>
    </row>
    <row r="1077" spans="1:3" x14ac:dyDescent="0.25">
      <c r="A1077">
        <v>42</v>
      </c>
      <c r="B1077">
        <v>23</v>
      </c>
      <c r="C1077">
        <v>2.4300000000000002</v>
      </c>
    </row>
    <row r="1078" spans="1:3" x14ac:dyDescent="0.25">
      <c r="A1078">
        <v>36</v>
      </c>
      <c r="B1078">
        <v>45</v>
      </c>
      <c r="C1078">
        <v>2.42</v>
      </c>
    </row>
    <row r="1079" spans="1:3" x14ac:dyDescent="0.25">
      <c r="A1079">
        <v>45</v>
      </c>
      <c r="B1079">
        <v>36</v>
      </c>
      <c r="C1079">
        <v>2.42</v>
      </c>
    </row>
    <row r="1080" spans="1:3" x14ac:dyDescent="0.25">
      <c r="A1080">
        <v>19</v>
      </c>
      <c r="B1080">
        <v>34</v>
      </c>
      <c r="C1080">
        <v>2.4099999999999997</v>
      </c>
    </row>
    <row r="1081" spans="1:3" x14ac:dyDescent="0.25">
      <c r="A1081">
        <v>34</v>
      </c>
      <c r="B1081">
        <v>19</v>
      </c>
      <c r="C1081">
        <v>2.4099999999999997</v>
      </c>
    </row>
    <row r="1082" spans="1:3" x14ac:dyDescent="0.25">
      <c r="A1082">
        <v>41</v>
      </c>
      <c r="B1082">
        <v>48</v>
      </c>
      <c r="C1082">
        <v>2.4099999999999997</v>
      </c>
    </row>
    <row r="1083" spans="1:3" x14ac:dyDescent="0.25">
      <c r="A1083">
        <v>48</v>
      </c>
      <c r="B1083">
        <v>41</v>
      </c>
      <c r="C1083">
        <v>2.4099999999999997</v>
      </c>
    </row>
    <row r="1084" spans="1:3" x14ac:dyDescent="0.25">
      <c r="A1084">
        <v>4</v>
      </c>
      <c r="B1084">
        <v>23</v>
      </c>
      <c r="C1084">
        <v>2.4000000000000021</v>
      </c>
    </row>
    <row r="1085" spans="1:3" x14ac:dyDescent="0.25">
      <c r="A1085">
        <v>23</v>
      </c>
      <c r="B1085">
        <v>4</v>
      </c>
      <c r="C1085">
        <v>2.4000000000000021</v>
      </c>
    </row>
    <row r="1086" spans="1:3" x14ac:dyDescent="0.25">
      <c r="A1086">
        <v>6</v>
      </c>
      <c r="B1086">
        <v>42</v>
      </c>
      <c r="C1086">
        <v>2.3900000000000006</v>
      </c>
    </row>
    <row r="1087" spans="1:3" x14ac:dyDescent="0.25">
      <c r="A1087">
        <v>42</v>
      </c>
      <c r="B1087">
        <v>6</v>
      </c>
      <c r="C1087">
        <v>2.3900000000000006</v>
      </c>
    </row>
    <row r="1088" spans="1:3" x14ac:dyDescent="0.25">
      <c r="A1088">
        <v>24</v>
      </c>
      <c r="B1088">
        <v>25</v>
      </c>
      <c r="C1088">
        <v>2.39</v>
      </c>
    </row>
    <row r="1089" spans="1:3" x14ac:dyDescent="0.25">
      <c r="A1089">
        <v>25</v>
      </c>
      <c r="B1089">
        <v>24</v>
      </c>
      <c r="C1089">
        <v>2.39</v>
      </c>
    </row>
    <row r="1090" spans="1:3" x14ac:dyDescent="0.25">
      <c r="A1090">
        <v>22</v>
      </c>
      <c r="B1090">
        <v>47</v>
      </c>
      <c r="C1090">
        <v>2.3899999999999992</v>
      </c>
    </row>
    <row r="1091" spans="1:3" x14ac:dyDescent="0.25">
      <c r="A1091">
        <v>47</v>
      </c>
      <c r="B1091">
        <v>22</v>
      </c>
      <c r="C1091">
        <v>2.3899999999999992</v>
      </c>
    </row>
    <row r="1092" spans="1:3" x14ac:dyDescent="0.25">
      <c r="A1092">
        <v>30</v>
      </c>
      <c r="B1092">
        <v>33</v>
      </c>
      <c r="C1092">
        <v>2.3800000000000003</v>
      </c>
    </row>
    <row r="1093" spans="1:3" x14ac:dyDescent="0.25">
      <c r="A1093">
        <v>31</v>
      </c>
      <c r="B1093">
        <v>45</v>
      </c>
      <c r="C1093">
        <v>2.3800000000000003</v>
      </c>
    </row>
    <row r="1094" spans="1:3" x14ac:dyDescent="0.25">
      <c r="A1094">
        <v>33</v>
      </c>
      <c r="B1094">
        <v>30</v>
      </c>
      <c r="C1094">
        <v>2.3800000000000003</v>
      </c>
    </row>
    <row r="1095" spans="1:3" x14ac:dyDescent="0.25">
      <c r="A1095">
        <v>36</v>
      </c>
      <c r="B1095">
        <v>39</v>
      </c>
      <c r="C1095">
        <v>2.3800000000000003</v>
      </c>
    </row>
    <row r="1096" spans="1:3" x14ac:dyDescent="0.25">
      <c r="A1096">
        <v>39</v>
      </c>
      <c r="B1096">
        <v>36</v>
      </c>
      <c r="C1096">
        <v>2.3800000000000003</v>
      </c>
    </row>
    <row r="1097" spans="1:3" x14ac:dyDescent="0.25">
      <c r="A1097">
        <v>45</v>
      </c>
      <c r="B1097">
        <v>31</v>
      </c>
      <c r="C1097">
        <v>2.3800000000000003</v>
      </c>
    </row>
    <row r="1098" spans="1:3" x14ac:dyDescent="0.25">
      <c r="A1098">
        <v>16</v>
      </c>
      <c r="B1098">
        <v>19</v>
      </c>
      <c r="C1098">
        <v>2.37</v>
      </c>
    </row>
    <row r="1099" spans="1:3" x14ac:dyDescent="0.25">
      <c r="A1099">
        <v>19</v>
      </c>
      <c r="B1099">
        <v>16</v>
      </c>
      <c r="C1099">
        <v>2.37</v>
      </c>
    </row>
    <row r="1100" spans="1:3" x14ac:dyDescent="0.25">
      <c r="A1100">
        <v>40</v>
      </c>
      <c r="B1100">
        <v>42</v>
      </c>
      <c r="C1100">
        <v>2.37</v>
      </c>
    </row>
    <row r="1101" spans="1:3" x14ac:dyDescent="0.25">
      <c r="A1101">
        <v>42</v>
      </c>
      <c r="B1101">
        <v>40</v>
      </c>
      <c r="C1101">
        <v>2.37</v>
      </c>
    </row>
    <row r="1102" spans="1:3" x14ac:dyDescent="0.25">
      <c r="A1102">
        <v>22</v>
      </c>
      <c r="B1102">
        <v>28</v>
      </c>
      <c r="C1102">
        <v>2.3699999999999997</v>
      </c>
    </row>
    <row r="1103" spans="1:3" x14ac:dyDescent="0.25">
      <c r="A1103">
        <v>28</v>
      </c>
      <c r="B1103">
        <v>22</v>
      </c>
      <c r="C1103">
        <v>2.3699999999999997</v>
      </c>
    </row>
    <row r="1104" spans="1:3" x14ac:dyDescent="0.25">
      <c r="A1104">
        <v>19</v>
      </c>
      <c r="B1104">
        <v>42</v>
      </c>
      <c r="C1104">
        <v>2.36</v>
      </c>
    </row>
    <row r="1105" spans="1:3" x14ac:dyDescent="0.25">
      <c r="A1105">
        <v>42</v>
      </c>
      <c r="B1105">
        <v>19</v>
      </c>
      <c r="C1105">
        <v>2.36</v>
      </c>
    </row>
    <row r="1106" spans="1:3" x14ac:dyDescent="0.25">
      <c r="A1106">
        <v>22</v>
      </c>
      <c r="B1106">
        <v>43</v>
      </c>
      <c r="C1106">
        <v>2.35</v>
      </c>
    </row>
    <row r="1107" spans="1:3" x14ac:dyDescent="0.25">
      <c r="A1107">
        <v>43</v>
      </c>
      <c r="B1107">
        <v>22</v>
      </c>
      <c r="C1107">
        <v>2.35</v>
      </c>
    </row>
    <row r="1108" spans="1:3" x14ac:dyDescent="0.25">
      <c r="A1108">
        <v>18</v>
      </c>
      <c r="B1108">
        <v>43</v>
      </c>
      <c r="C1108">
        <v>2.33</v>
      </c>
    </row>
    <row r="1109" spans="1:3" x14ac:dyDescent="0.25">
      <c r="A1109">
        <v>43</v>
      </c>
      <c r="B1109">
        <v>18</v>
      </c>
      <c r="C1109">
        <v>2.33</v>
      </c>
    </row>
    <row r="1110" spans="1:3" x14ac:dyDescent="0.25">
      <c r="A1110">
        <v>2</v>
      </c>
      <c r="B1110">
        <v>22</v>
      </c>
      <c r="C1110">
        <v>2.329999999999997</v>
      </c>
    </row>
    <row r="1111" spans="1:3" x14ac:dyDescent="0.25">
      <c r="A1111">
        <v>22</v>
      </c>
      <c r="B1111">
        <v>2</v>
      </c>
      <c r="C1111">
        <v>2.329999999999997</v>
      </c>
    </row>
    <row r="1112" spans="1:3" x14ac:dyDescent="0.25">
      <c r="A1112">
        <v>11</v>
      </c>
      <c r="B1112">
        <v>43</v>
      </c>
      <c r="C1112">
        <v>2.3100000000000005</v>
      </c>
    </row>
    <row r="1113" spans="1:3" x14ac:dyDescent="0.25">
      <c r="A1113">
        <v>43</v>
      </c>
      <c r="B1113">
        <v>11</v>
      </c>
      <c r="C1113">
        <v>2.3100000000000005</v>
      </c>
    </row>
    <row r="1114" spans="1:3" x14ac:dyDescent="0.25">
      <c r="A1114">
        <v>34</v>
      </c>
      <c r="B1114">
        <v>42</v>
      </c>
      <c r="C1114">
        <v>2.31</v>
      </c>
    </row>
    <row r="1115" spans="1:3" x14ac:dyDescent="0.25">
      <c r="A1115">
        <v>42</v>
      </c>
      <c r="B1115">
        <v>34</v>
      </c>
      <c r="C1115">
        <v>2.31</v>
      </c>
    </row>
    <row r="1116" spans="1:3" x14ac:dyDescent="0.25">
      <c r="A1116">
        <v>48</v>
      </c>
      <c r="B1116">
        <v>49</v>
      </c>
      <c r="C1116">
        <v>2.3099999999999996</v>
      </c>
    </row>
    <row r="1117" spans="1:3" x14ac:dyDescent="0.25">
      <c r="A1117">
        <v>49</v>
      </c>
      <c r="B1117">
        <v>48</v>
      </c>
      <c r="C1117">
        <v>2.3099999999999996</v>
      </c>
    </row>
    <row r="1118" spans="1:3" x14ac:dyDescent="0.25">
      <c r="A1118">
        <v>6</v>
      </c>
      <c r="B1118">
        <v>37</v>
      </c>
      <c r="C1118">
        <v>2.3000000000000025</v>
      </c>
    </row>
    <row r="1119" spans="1:3" x14ac:dyDescent="0.25">
      <c r="A1119">
        <v>37</v>
      </c>
      <c r="B1119">
        <v>6</v>
      </c>
      <c r="C1119">
        <v>2.3000000000000025</v>
      </c>
    </row>
    <row r="1120" spans="1:3" x14ac:dyDescent="0.25">
      <c r="A1120">
        <v>6</v>
      </c>
      <c r="B1120">
        <v>34</v>
      </c>
      <c r="C1120">
        <v>2.2700000000000058</v>
      </c>
    </row>
    <row r="1121" spans="1:3" x14ac:dyDescent="0.25">
      <c r="A1121">
        <v>34</v>
      </c>
      <c r="B1121">
        <v>6</v>
      </c>
      <c r="C1121">
        <v>2.2700000000000058</v>
      </c>
    </row>
    <row r="1122" spans="1:3" x14ac:dyDescent="0.25">
      <c r="A1122">
        <v>5</v>
      </c>
      <c r="B1122">
        <v>32</v>
      </c>
      <c r="C1122">
        <v>2.260000000000002</v>
      </c>
    </row>
    <row r="1123" spans="1:3" x14ac:dyDescent="0.25">
      <c r="A1123">
        <v>32</v>
      </c>
      <c r="B1123">
        <v>5</v>
      </c>
      <c r="C1123">
        <v>2.260000000000002</v>
      </c>
    </row>
    <row r="1124" spans="1:3" x14ac:dyDescent="0.25">
      <c r="A1124">
        <v>17</v>
      </c>
      <c r="B1124">
        <v>38</v>
      </c>
      <c r="C1124">
        <v>2.2600000000000002</v>
      </c>
    </row>
    <row r="1125" spans="1:3" x14ac:dyDescent="0.25">
      <c r="A1125">
        <v>22</v>
      </c>
      <c r="B1125">
        <v>50</v>
      </c>
      <c r="C1125">
        <v>2.2600000000000002</v>
      </c>
    </row>
    <row r="1126" spans="1:3" x14ac:dyDescent="0.25">
      <c r="A1126">
        <v>38</v>
      </c>
      <c r="B1126">
        <v>17</v>
      </c>
      <c r="C1126">
        <v>2.2600000000000002</v>
      </c>
    </row>
    <row r="1127" spans="1:3" x14ac:dyDescent="0.25">
      <c r="A1127">
        <v>50</v>
      </c>
      <c r="B1127">
        <v>22</v>
      </c>
      <c r="C1127">
        <v>2.2600000000000002</v>
      </c>
    </row>
    <row r="1128" spans="1:3" x14ac:dyDescent="0.25">
      <c r="A1128">
        <v>3</v>
      </c>
      <c r="B1128">
        <v>22</v>
      </c>
      <c r="C1128">
        <v>2.2500000000000058</v>
      </c>
    </row>
    <row r="1129" spans="1:3" x14ac:dyDescent="0.25">
      <c r="A1129">
        <v>22</v>
      </c>
      <c r="B1129">
        <v>3</v>
      </c>
      <c r="C1129">
        <v>2.2500000000000058</v>
      </c>
    </row>
    <row r="1130" spans="1:3" x14ac:dyDescent="0.25">
      <c r="A1130">
        <v>12</v>
      </c>
      <c r="B1130">
        <v>38</v>
      </c>
      <c r="C1130">
        <v>2.2500000000000004</v>
      </c>
    </row>
    <row r="1131" spans="1:3" x14ac:dyDescent="0.25">
      <c r="A1131">
        <v>38</v>
      </c>
      <c r="B1131">
        <v>12</v>
      </c>
      <c r="C1131">
        <v>2.2500000000000004</v>
      </c>
    </row>
    <row r="1132" spans="1:3" x14ac:dyDescent="0.25">
      <c r="A1132">
        <v>22</v>
      </c>
      <c r="B1132">
        <v>48</v>
      </c>
      <c r="C1132">
        <v>2.2499999999999996</v>
      </c>
    </row>
    <row r="1133" spans="1:3" x14ac:dyDescent="0.25">
      <c r="A1133">
        <v>48</v>
      </c>
      <c r="B1133">
        <v>22</v>
      </c>
      <c r="C1133">
        <v>2.2499999999999996</v>
      </c>
    </row>
    <row r="1134" spans="1:3" x14ac:dyDescent="0.25">
      <c r="A1134">
        <v>7</v>
      </c>
      <c r="B1134">
        <v>36</v>
      </c>
      <c r="C1134">
        <v>2.2299999999999973</v>
      </c>
    </row>
    <row r="1135" spans="1:3" x14ac:dyDescent="0.25">
      <c r="A1135">
        <v>36</v>
      </c>
      <c r="B1135">
        <v>7</v>
      </c>
      <c r="C1135">
        <v>2.2299999999999973</v>
      </c>
    </row>
    <row r="1136" spans="1:3" x14ac:dyDescent="0.25">
      <c r="A1136">
        <v>16</v>
      </c>
      <c r="B1136">
        <v>45</v>
      </c>
      <c r="C1136">
        <v>2.2200000000000002</v>
      </c>
    </row>
    <row r="1137" spans="1:3" x14ac:dyDescent="0.25">
      <c r="A1137">
        <v>45</v>
      </c>
      <c r="B1137">
        <v>16</v>
      </c>
      <c r="C1137">
        <v>2.2200000000000002</v>
      </c>
    </row>
    <row r="1138" spans="1:3" x14ac:dyDescent="0.25">
      <c r="A1138">
        <v>15</v>
      </c>
      <c r="B1138">
        <v>26</v>
      </c>
      <c r="C1138">
        <v>2.2199999999999998</v>
      </c>
    </row>
    <row r="1139" spans="1:3" x14ac:dyDescent="0.25">
      <c r="A1139">
        <v>26</v>
      </c>
      <c r="B1139">
        <v>15</v>
      </c>
      <c r="C1139">
        <v>2.2199999999999998</v>
      </c>
    </row>
    <row r="1140" spans="1:3" x14ac:dyDescent="0.25">
      <c r="A1140">
        <v>37</v>
      </c>
      <c r="B1140">
        <v>48</v>
      </c>
      <c r="C1140">
        <v>2.2199999999999998</v>
      </c>
    </row>
    <row r="1141" spans="1:3" x14ac:dyDescent="0.25">
      <c r="A1141">
        <v>48</v>
      </c>
      <c r="B1141">
        <v>37</v>
      </c>
      <c r="C1141">
        <v>2.2199999999999998</v>
      </c>
    </row>
    <row r="1142" spans="1:3" x14ac:dyDescent="0.25">
      <c r="A1142">
        <v>8</v>
      </c>
      <c r="B1142">
        <v>46</v>
      </c>
      <c r="C1142">
        <v>2.2099999999999982</v>
      </c>
    </row>
    <row r="1143" spans="1:3" x14ac:dyDescent="0.25">
      <c r="A1143">
        <v>46</v>
      </c>
      <c r="B1143">
        <v>8</v>
      </c>
      <c r="C1143">
        <v>2.2099999999999982</v>
      </c>
    </row>
    <row r="1144" spans="1:3" x14ac:dyDescent="0.25">
      <c r="A1144">
        <v>17</v>
      </c>
      <c r="B1144">
        <v>30</v>
      </c>
      <c r="C1144">
        <v>2.2000000000000006</v>
      </c>
    </row>
    <row r="1145" spans="1:3" x14ac:dyDescent="0.25">
      <c r="A1145">
        <v>30</v>
      </c>
      <c r="B1145">
        <v>17</v>
      </c>
      <c r="C1145">
        <v>2.2000000000000006</v>
      </c>
    </row>
    <row r="1146" spans="1:3" x14ac:dyDescent="0.25">
      <c r="A1146">
        <v>10</v>
      </c>
      <c r="B1146">
        <v>46</v>
      </c>
      <c r="C1146">
        <v>2.1900000000000022</v>
      </c>
    </row>
    <row r="1147" spans="1:3" x14ac:dyDescent="0.25">
      <c r="A1147">
        <v>46</v>
      </c>
      <c r="B1147">
        <v>10</v>
      </c>
      <c r="C1147">
        <v>2.1900000000000022</v>
      </c>
    </row>
    <row r="1148" spans="1:3" x14ac:dyDescent="0.25">
      <c r="A1148">
        <v>17</v>
      </c>
      <c r="B1148">
        <v>29</v>
      </c>
      <c r="C1148">
        <v>2.1899999999999995</v>
      </c>
    </row>
    <row r="1149" spans="1:3" x14ac:dyDescent="0.25">
      <c r="A1149">
        <v>29</v>
      </c>
      <c r="B1149">
        <v>17</v>
      </c>
      <c r="C1149">
        <v>2.1899999999999995</v>
      </c>
    </row>
    <row r="1150" spans="1:3" x14ac:dyDescent="0.25">
      <c r="A1150">
        <v>25</v>
      </c>
      <c r="B1150">
        <v>35</v>
      </c>
      <c r="C1150">
        <v>2.1800000000000002</v>
      </c>
    </row>
    <row r="1151" spans="1:3" x14ac:dyDescent="0.25">
      <c r="A1151">
        <v>35</v>
      </c>
      <c r="B1151">
        <v>25</v>
      </c>
      <c r="C1151">
        <v>2.1800000000000002</v>
      </c>
    </row>
    <row r="1152" spans="1:3" x14ac:dyDescent="0.25">
      <c r="A1152">
        <v>15</v>
      </c>
      <c r="B1152">
        <v>19</v>
      </c>
      <c r="C1152">
        <v>2.1500000000000004</v>
      </c>
    </row>
    <row r="1153" spans="1:3" x14ac:dyDescent="0.25">
      <c r="A1153">
        <v>19</v>
      </c>
      <c r="B1153">
        <v>15</v>
      </c>
      <c r="C1153">
        <v>2.1500000000000004</v>
      </c>
    </row>
    <row r="1154" spans="1:3" x14ac:dyDescent="0.25">
      <c r="A1154">
        <v>35</v>
      </c>
      <c r="B1154">
        <v>48</v>
      </c>
      <c r="C1154">
        <v>2.1499999999999995</v>
      </c>
    </row>
    <row r="1155" spans="1:3" x14ac:dyDescent="0.25">
      <c r="A1155">
        <v>48</v>
      </c>
      <c r="B1155">
        <v>35</v>
      </c>
      <c r="C1155">
        <v>2.1499999999999995</v>
      </c>
    </row>
    <row r="1156" spans="1:3" x14ac:dyDescent="0.25">
      <c r="A1156">
        <v>4</v>
      </c>
      <c r="B1156">
        <v>37</v>
      </c>
      <c r="C1156">
        <v>2.1300000000000008</v>
      </c>
    </row>
    <row r="1157" spans="1:3" x14ac:dyDescent="0.25">
      <c r="A1157">
        <v>37</v>
      </c>
      <c r="B1157">
        <v>4</v>
      </c>
      <c r="C1157">
        <v>2.1300000000000008</v>
      </c>
    </row>
    <row r="1158" spans="1:3" x14ac:dyDescent="0.25">
      <c r="A1158">
        <v>19</v>
      </c>
      <c r="B1158">
        <v>31</v>
      </c>
      <c r="C1158">
        <v>2.13</v>
      </c>
    </row>
    <row r="1159" spans="1:3" x14ac:dyDescent="0.25">
      <c r="A1159">
        <v>31</v>
      </c>
      <c r="B1159">
        <v>19</v>
      </c>
      <c r="C1159">
        <v>2.13</v>
      </c>
    </row>
    <row r="1160" spans="1:3" x14ac:dyDescent="0.25">
      <c r="A1160">
        <v>40</v>
      </c>
      <c r="B1160">
        <v>41</v>
      </c>
      <c r="C1160">
        <v>2.1200000000000006</v>
      </c>
    </row>
    <row r="1161" spans="1:3" x14ac:dyDescent="0.25">
      <c r="A1161">
        <v>41</v>
      </c>
      <c r="B1161">
        <v>40</v>
      </c>
      <c r="C1161">
        <v>2.1200000000000006</v>
      </c>
    </row>
    <row r="1162" spans="1:3" x14ac:dyDescent="0.25">
      <c r="A1162">
        <v>22</v>
      </c>
      <c r="B1162">
        <v>41</v>
      </c>
      <c r="C1162">
        <v>2.12</v>
      </c>
    </row>
    <row r="1163" spans="1:3" x14ac:dyDescent="0.25">
      <c r="A1163">
        <v>41</v>
      </c>
      <c r="B1163">
        <v>22</v>
      </c>
      <c r="C1163">
        <v>2.12</v>
      </c>
    </row>
    <row r="1164" spans="1:3" x14ac:dyDescent="0.25">
      <c r="A1164">
        <v>25</v>
      </c>
      <c r="B1164">
        <v>39</v>
      </c>
      <c r="C1164">
        <v>2.1199999999999997</v>
      </c>
    </row>
    <row r="1165" spans="1:3" x14ac:dyDescent="0.25">
      <c r="A1165">
        <v>39</v>
      </c>
      <c r="B1165">
        <v>25</v>
      </c>
      <c r="C1165">
        <v>2.1199999999999997</v>
      </c>
    </row>
    <row r="1166" spans="1:3" x14ac:dyDescent="0.25">
      <c r="A1166">
        <v>26</v>
      </c>
      <c r="B1166">
        <v>49</v>
      </c>
      <c r="C1166">
        <v>2.1100000000000003</v>
      </c>
    </row>
    <row r="1167" spans="1:3" x14ac:dyDescent="0.25">
      <c r="A1167">
        <v>49</v>
      </c>
      <c r="B1167">
        <v>26</v>
      </c>
      <c r="C1167">
        <v>2.1100000000000003</v>
      </c>
    </row>
    <row r="1168" spans="1:3" x14ac:dyDescent="0.25">
      <c r="A1168">
        <v>18</v>
      </c>
      <c r="B1168">
        <v>42</v>
      </c>
      <c r="C1168">
        <v>2.1</v>
      </c>
    </row>
    <row r="1169" spans="1:3" x14ac:dyDescent="0.25">
      <c r="A1169">
        <v>42</v>
      </c>
      <c r="B1169">
        <v>18</v>
      </c>
      <c r="C1169">
        <v>2.1</v>
      </c>
    </row>
    <row r="1170" spans="1:3" x14ac:dyDescent="0.25">
      <c r="A1170">
        <v>17</v>
      </c>
      <c r="B1170">
        <v>41</v>
      </c>
      <c r="C1170">
        <v>2.0900000000000003</v>
      </c>
    </row>
    <row r="1171" spans="1:3" x14ac:dyDescent="0.25">
      <c r="A1171">
        <v>41</v>
      </c>
      <c r="B1171">
        <v>17</v>
      </c>
      <c r="C1171">
        <v>2.0900000000000003</v>
      </c>
    </row>
    <row r="1172" spans="1:3" x14ac:dyDescent="0.25">
      <c r="A1172">
        <v>12</v>
      </c>
      <c r="B1172">
        <v>22</v>
      </c>
      <c r="C1172">
        <v>2.0800000000000041</v>
      </c>
    </row>
    <row r="1173" spans="1:3" x14ac:dyDescent="0.25">
      <c r="A1173">
        <v>22</v>
      </c>
      <c r="B1173">
        <v>12</v>
      </c>
      <c r="C1173">
        <v>2.0800000000000041</v>
      </c>
    </row>
    <row r="1174" spans="1:3" x14ac:dyDescent="0.25">
      <c r="A1174">
        <v>30</v>
      </c>
      <c r="B1174">
        <v>47</v>
      </c>
      <c r="C1174">
        <v>2.0799999999999996</v>
      </c>
    </row>
    <row r="1175" spans="1:3" x14ac:dyDescent="0.25">
      <c r="A1175">
        <v>38</v>
      </c>
      <c r="B1175">
        <v>48</v>
      </c>
      <c r="C1175">
        <v>2.0799999999999996</v>
      </c>
    </row>
    <row r="1176" spans="1:3" x14ac:dyDescent="0.25">
      <c r="A1176">
        <v>47</v>
      </c>
      <c r="B1176">
        <v>30</v>
      </c>
      <c r="C1176">
        <v>2.0799999999999996</v>
      </c>
    </row>
    <row r="1177" spans="1:3" x14ac:dyDescent="0.25">
      <c r="A1177">
        <v>48</v>
      </c>
      <c r="B1177">
        <v>38</v>
      </c>
      <c r="C1177">
        <v>2.0799999999999996</v>
      </c>
    </row>
    <row r="1178" spans="1:3" x14ac:dyDescent="0.25">
      <c r="A1178">
        <v>24</v>
      </c>
      <c r="B1178">
        <v>47</v>
      </c>
      <c r="C1178">
        <v>2.0799999999999992</v>
      </c>
    </row>
    <row r="1179" spans="1:3" x14ac:dyDescent="0.25">
      <c r="A1179">
        <v>47</v>
      </c>
      <c r="B1179">
        <v>24</v>
      </c>
      <c r="C1179">
        <v>2.0799999999999992</v>
      </c>
    </row>
    <row r="1180" spans="1:3" x14ac:dyDescent="0.25">
      <c r="A1180">
        <v>4</v>
      </c>
      <c r="B1180">
        <v>34</v>
      </c>
      <c r="C1180">
        <v>2.0799999999999939</v>
      </c>
    </row>
    <row r="1181" spans="1:3" x14ac:dyDescent="0.25">
      <c r="A1181">
        <v>34</v>
      </c>
      <c r="B1181">
        <v>4</v>
      </c>
      <c r="C1181">
        <v>2.0799999999999939</v>
      </c>
    </row>
    <row r="1182" spans="1:3" x14ac:dyDescent="0.25">
      <c r="A1182">
        <v>15</v>
      </c>
      <c r="B1182">
        <v>23</v>
      </c>
      <c r="C1182">
        <v>2.0700000000000003</v>
      </c>
    </row>
    <row r="1183" spans="1:3" x14ac:dyDescent="0.25">
      <c r="A1183">
        <v>16</v>
      </c>
      <c r="B1183">
        <v>44</v>
      </c>
      <c r="C1183">
        <v>2.0700000000000003</v>
      </c>
    </row>
    <row r="1184" spans="1:3" x14ac:dyDescent="0.25">
      <c r="A1184">
        <v>23</v>
      </c>
      <c r="B1184">
        <v>15</v>
      </c>
      <c r="C1184">
        <v>2.0700000000000003</v>
      </c>
    </row>
    <row r="1185" spans="1:3" x14ac:dyDescent="0.25">
      <c r="A1185">
        <v>44</v>
      </c>
      <c r="B1185">
        <v>16</v>
      </c>
      <c r="C1185">
        <v>2.0700000000000003</v>
      </c>
    </row>
    <row r="1186" spans="1:3" x14ac:dyDescent="0.25">
      <c r="A1186">
        <v>12</v>
      </c>
      <c r="B1186">
        <v>39</v>
      </c>
      <c r="C1186">
        <v>2.0600000000000005</v>
      </c>
    </row>
    <row r="1187" spans="1:3" x14ac:dyDescent="0.25">
      <c r="A1187">
        <v>39</v>
      </c>
      <c r="B1187">
        <v>12</v>
      </c>
      <c r="C1187">
        <v>2.0600000000000005</v>
      </c>
    </row>
    <row r="1188" spans="1:3" x14ac:dyDescent="0.25">
      <c r="A1188">
        <v>17</v>
      </c>
      <c r="B1188">
        <v>43</v>
      </c>
      <c r="C1188">
        <v>2.04</v>
      </c>
    </row>
    <row r="1189" spans="1:3" x14ac:dyDescent="0.25">
      <c r="A1189">
        <v>43</v>
      </c>
      <c r="B1189">
        <v>17</v>
      </c>
      <c r="C1189">
        <v>2.04</v>
      </c>
    </row>
    <row r="1190" spans="1:3" x14ac:dyDescent="0.25">
      <c r="A1190">
        <v>4</v>
      </c>
      <c r="B1190">
        <v>49</v>
      </c>
      <c r="C1190">
        <v>2.0399999999999983</v>
      </c>
    </row>
    <row r="1191" spans="1:3" x14ac:dyDescent="0.25">
      <c r="A1191">
        <v>49</v>
      </c>
      <c r="B1191">
        <v>4</v>
      </c>
      <c r="C1191">
        <v>2.0399999999999983</v>
      </c>
    </row>
    <row r="1192" spans="1:3" x14ac:dyDescent="0.25">
      <c r="A1192">
        <v>28</v>
      </c>
      <c r="B1192">
        <v>30</v>
      </c>
      <c r="C1192">
        <v>2.0299999999999989</v>
      </c>
    </row>
    <row r="1193" spans="1:3" x14ac:dyDescent="0.25">
      <c r="A1193">
        <v>30</v>
      </c>
      <c r="B1193">
        <v>28</v>
      </c>
      <c r="C1193">
        <v>2.0299999999999989</v>
      </c>
    </row>
    <row r="1194" spans="1:3" x14ac:dyDescent="0.25">
      <c r="A1194">
        <v>24</v>
      </c>
      <c r="B1194">
        <v>28</v>
      </c>
      <c r="C1194">
        <v>2.0299999999999985</v>
      </c>
    </row>
    <row r="1195" spans="1:3" x14ac:dyDescent="0.25">
      <c r="A1195">
        <v>28</v>
      </c>
      <c r="B1195">
        <v>24</v>
      </c>
      <c r="C1195">
        <v>2.0299999999999985</v>
      </c>
    </row>
    <row r="1196" spans="1:3" x14ac:dyDescent="0.25">
      <c r="A1196">
        <v>17</v>
      </c>
      <c r="B1196">
        <v>32</v>
      </c>
      <c r="C1196">
        <v>2.02</v>
      </c>
    </row>
    <row r="1197" spans="1:3" x14ac:dyDescent="0.25">
      <c r="A1197">
        <v>32</v>
      </c>
      <c r="B1197">
        <v>17</v>
      </c>
      <c r="C1197">
        <v>2.02</v>
      </c>
    </row>
    <row r="1198" spans="1:3" x14ac:dyDescent="0.25">
      <c r="A1198">
        <v>14</v>
      </c>
      <c r="B1198">
        <v>23</v>
      </c>
      <c r="C1198">
        <v>2.0199999999999996</v>
      </c>
    </row>
    <row r="1199" spans="1:3" x14ac:dyDescent="0.25">
      <c r="A1199">
        <v>23</v>
      </c>
      <c r="B1199">
        <v>14</v>
      </c>
      <c r="C1199">
        <v>2.0199999999999996</v>
      </c>
    </row>
    <row r="1200" spans="1:3" x14ac:dyDescent="0.25">
      <c r="A1200">
        <v>22</v>
      </c>
      <c r="B1200">
        <v>40</v>
      </c>
      <c r="C1200">
        <v>2.0100000000000002</v>
      </c>
    </row>
    <row r="1201" spans="1:3" x14ac:dyDescent="0.25">
      <c r="A1201">
        <v>40</v>
      </c>
      <c r="B1201">
        <v>22</v>
      </c>
      <c r="C1201">
        <v>2.0100000000000002</v>
      </c>
    </row>
    <row r="1202" spans="1:3" x14ac:dyDescent="0.25">
      <c r="A1202">
        <v>23</v>
      </c>
      <c r="B1202">
        <v>31</v>
      </c>
      <c r="C1202">
        <v>2.0099999999999998</v>
      </c>
    </row>
    <row r="1203" spans="1:3" x14ac:dyDescent="0.25">
      <c r="A1203">
        <v>31</v>
      </c>
      <c r="B1203">
        <v>23</v>
      </c>
      <c r="C1203">
        <v>2.0099999999999998</v>
      </c>
    </row>
    <row r="1204" spans="1:3" x14ac:dyDescent="0.25">
      <c r="A1204">
        <v>22</v>
      </c>
      <c r="B1204">
        <v>38</v>
      </c>
      <c r="C1204">
        <v>1.9899999999999998</v>
      </c>
    </row>
    <row r="1205" spans="1:3" x14ac:dyDescent="0.25">
      <c r="A1205">
        <v>38</v>
      </c>
      <c r="B1205">
        <v>22</v>
      </c>
      <c r="C1205">
        <v>1.9899999999999998</v>
      </c>
    </row>
    <row r="1206" spans="1:3" x14ac:dyDescent="0.25">
      <c r="A1206">
        <v>25</v>
      </c>
      <c r="B1206">
        <v>32</v>
      </c>
      <c r="C1206">
        <v>1.9799999999999998</v>
      </c>
    </row>
    <row r="1207" spans="1:3" x14ac:dyDescent="0.25">
      <c r="A1207">
        <v>26</v>
      </c>
      <c r="B1207">
        <v>37</v>
      </c>
      <c r="C1207">
        <v>1.9799999999999998</v>
      </c>
    </row>
    <row r="1208" spans="1:3" x14ac:dyDescent="0.25">
      <c r="A1208">
        <v>32</v>
      </c>
      <c r="B1208">
        <v>25</v>
      </c>
      <c r="C1208">
        <v>1.9799999999999998</v>
      </c>
    </row>
    <row r="1209" spans="1:3" x14ac:dyDescent="0.25">
      <c r="A1209">
        <v>37</v>
      </c>
      <c r="B1209">
        <v>26</v>
      </c>
      <c r="C1209">
        <v>1.9799999999999998</v>
      </c>
    </row>
    <row r="1210" spans="1:3" x14ac:dyDescent="0.25">
      <c r="A1210">
        <v>2</v>
      </c>
      <c r="B1210">
        <v>30</v>
      </c>
      <c r="C1210">
        <v>1.9700000000000002</v>
      </c>
    </row>
    <row r="1211" spans="1:3" x14ac:dyDescent="0.25">
      <c r="A1211">
        <v>30</v>
      </c>
      <c r="B1211">
        <v>2</v>
      </c>
      <c r="C1211">
        <v>1.9700000000000002</v>
      </c>
    </row>
    <row r="1212" spans="1:3" x14ac:dyDescent="0.25">
      <c r="A1212">
        <v>13</v>
      </c>
      <c r="B1212">
        <v>42</v>
      </c>
      <c r="C1212">
        <v>1.9699999999999998</v>
      </c>
    </row>
    <row r="1213" spans="1:3" x14ac:dyDescent="0.25">
      <c r="A1213">
        <v>42</v>
      </c>
      <c r="B1213">
        <v>13</v>
      </c>
      <c r="C1213">
        <v>1.9699999999999998</v>
      </c>
    </row>
    <row r="1214" spans="1:3" x14ac:dyDescent="0.25">
      <c r="A1214">
        <v>2</v>
      </c>
      <c r="B1214">
        <v>24</v>
      </c>
      <c r="C1214">
        <v>1.9699999999999962</v>
      </c>
    </row>
    <row r="1215" spans="1:3" x14ac:dyDescent="0.25">
      <c r="A1215">
        <v>24</v>
      </c>
      <c r="B1215">
        <v>2</v>
      </c>
      <c r="C1215">
        <v>1.9699999999999962</v>
      </c>
    </row>
    <row r="1216" spans="1:3" x14ac:dyDescent="0.25">
      <c r="A1216">
        <v>15</v>
      </c>
      <c r="B1216">
        <v>34</v>
      </c>
      <c r="C1216">
        <v>1.9600000000000004</v>
      </c>
    </row>
    <row r="1217" spans="1:3" x14ac:dyDescent="0.25">
      <c r="A1217">
        <v>34</v>
      </c>
      <c r="B1217">
        <v>15</v>
      </c>
      <c r="C1217">
        <v>1.9600000000000004</v>
      </c>
    </row>
    <row r="1218" spans="1:3" x14ac:dyDescent="0.25">
      <c r="A1218">
        <v>34</v>
      </c>
      <c r="B1218">
        <v>44</v>
      </c>
      <c r="C1218">
        <v>1.9600000000000002</v>
      </c>
    </row>
    <row r="1219" spans="1:3" x14ac:dyDescent="0.25">
      <c r="A1219">
        <v>44</v>
      </c>
      <c r="B1219">
        <v>34</v>
      </c>
      <c r="C1219">
        <v>1.9600000000000002</v>
      </c>
    </row>
    <row r="1220" spans="1:3" x14ac:dyDescent="0.25">
      <c r="A1220">
        <v>30</v>
      </c>
      <c r="B1220">
        <v>36</v>
      </c>
      <c r="C1220">
        <v>1.9500000000000002</v>
      </c>
    </row>
    <row r="1221" spans="1:3" x14ac:dyDescent="0.25">
      <c r="A1221">
        <v>36</v>
      </c>
      <c r="B1221">
        <v>30</v>
      </c>
      <c r="C1221">
        <v>1.9500000000000002</v>
      </c>
    </row>
    <row r="1222" spans="1:3" x14ac:dyDescent="0.25">
      <c r="A1222">
        <v>16</v>
      </c>
      <c r="B1222">
        <v>24</v>
      </c>
      <c r="C1222">
        <v>1.9400000000000004</v>
      </c>
    </row>
    <row r="1223" spans="1:3" x14ac:dyDescent="0.25">
      <c r="A1223">
        <v>24</v>
      </c>
      <c r="B1223">
        <v>16</v>
      </c>
      <c r="C1223">
        <v>1.9400000000000004</v>
      </c>
    </row>
    <row r="1224" spans="1:3" x14ac:dyDescent="0.25">
      <c r="A1224">
        <v>18</v>
      </c>
      <c r="B1224">
        <v>22</v>
      </c>
      <c r="C1224">
        <v>1.9200000000000004</v>
      </c>
    </row>
    <row r="1225" spans="1:3" x14ac:dyDescent="0.25">
      <c r="A1225">
        <v>22</v>
      </c>
      <c r="B1225">
        <v>18</v>
      </c>
      <c r="C1225">
        <v>1.9200000000000004</v>
      </c>
    </row>
    <row r="1226" spans="1:3" x14ac:dyDescent="0.25">
      <c r="A1226">
        <v>22</v>
      </c>
      <c r="B1226">
        <v>35</v>
      </c>
      <c r="C1226">
        <v>1.92</v>
      </c>
    </row>
    <row r="1227" spans="1:3" x14ac:dyDescent="0.25">
      <c r="A1227">
        <v>35</v>
      </c>
      <c r="B1227">
        <v>22</v>
      </c>
      <c r="C1227">
        <v>1.92</v>
      </c>
    </row>
    <row r="1228" spans="1:3" x14ac:dyDescent="0.25">
      <c r="A1228">
        <v>8</v>
      </c>
      <c r="B1228">
        <v>19</v>
      </c>
      <c r="C1228">
        <v>1.9199999999999964</v>
      </c>
    </row>
    <row r="1229" spans="1:3" x14ac:dyDescent="0.25">
      <c r="A1229">
        <v>19</v>
      </c>
      <c r="B1229">
        <v>8</v>
      </c>
      <c r="C1229">
        <v>1.9199999999999964</v>
      </c>
    </row>
    <row r="1230" spans="1:3" x14ac:dyDescent="0.25">
      <c r="A1230">
        <v>15</v>
      </c>
      <c r="B1230">
        <v>45</v>
      </c>
      <c r="C1230">
        <v>1.9100000000000006</v>
      </c>
    </row>
    <row r="1231" spans="1:3" x14ac:dyDescent="0.25">
      <c r="A1231">
        <v>45</v>
      </c>
      <c r="B1231">
        <v>15</v>
      </c>
      <c r="C1231">
        <v>1.9100000000000006</v>
      </c>
    </row>
    <row r="1232" spans="1:3" x14ac:dyDescent="0.25">
      <c r="A1232">
        <v>10</v>
      </c>
      <c r="B1232">
        <v>19</v>
      </c>
      <c r="C1232">
        <v>1.9000000000000004</v>
      </c>
    </row>
    <row r="1233" spans="1:3" x14ac:dyDescent="0.25">
      <c r="A1233">
        <v>19</v>
      </c>
      <c r="B1233">
        <v>10</v>
      </c>
      <c r="C1233">
        <v>1.9000000000000004</v>
      </c>
    </row>
    <row r="1234" spans="1:3" x14ac:dyDescent="0.25">
      <c r="A1234">
        <v>31</v>
      </c>
      <c r="B1234">
        <v>34</v>
      </c>
      <c r="C1234">
        <v>1.8900000000000006</v>
      </c>
    </row>
    <row r="1235" spans="1:3" x14ac:dyDescent="0.25">
      <c r="A1235">
        <v>34</v>
      </c>
      <c r="B1235">
        <v>31</v>
      </c>
      <c r="C1235">
        <v>1.8900000000000006</v>
      </c>
    </row>
    <row r="1236" spans="1:3" x14ac:dyDescent="0.25">
      <c r="A1236">
        <v>17</v>
      </c>
      <c r="B1236">
        <v>23</v>
      </c>
      <c r="C1236">
        <v>1.8900000000000003</v>
      </c>
    </row>
    <row r="1237" spans="1:3" x14ac:dyDescent="0.25">
      <c r="A1237">
        <v>23</v>
      </c>
      <c r="B1237">
        <v>17</v>
      </c>
      <c r="C1237">
        <v>1.8900000000000003</v>
      </c>
    </row>
    <row r="1238" spans="1:3" x14ac:dyDescent="0.25">
      <c r="A1238">
        <v>23</v>
      </c>
      <c r="B1238">
        <v>33</v>
      </c>
      <c r="C1238">
        <v>1.89</v>
      </c>
    </row>
    <row r="1239" spans="1:3" x14ac:dyDescent="0.25">
      <c r="A1239">
        <v>33</v>
      </c>
      <c r="B1239">
        <v>23</v>
      </c>
      <c r="C1239">
        <v>1.89</v>
      </c>
    </row>
    <row r="1240" spans="1:3" x14ac:dyDescent="0.25">
      <c r="A1240">
        <v>39</v>
      </c>
      <c r="B1240">
        <v>48</v>
      </c>
      <c r="C1240">
        <v>1.88</v>
      </c>
    </row>
    <row r="1241" spans="1:3" x14ac:dyDescent="0.25">
      <c r="A1241">
        <v>48</v>
      </c>
      <c r="B1241">
        <v>39</v>
      </c>
      <c r="C1241">
        <v>1.88</v>
      </c>
    </row>
    <row r="1242" spans="1:3" x14ac:dyDescent="0.25">
      <c r="A1242">
        <v>35</v>
      </c>
      <c r="B1242">
        <v>40</v>
      </c>
      <c r="C1242">
        <v>1.87</v>
      </c>
    </row>
    <row r="1243" spans="1:3" x14ac:dyDescent="0.25">
      <c r="A1243">
        <v>40</v>
      </c>
      <c r="B1243">
        <v>35</v>
      </c>
      <c r="C1243">
        <v>1.87</v>
      </c>
    </row>
    <row r="1244" spans="1:3" x14ac:dyDescent="0.25">
      <c r="A1244">
        <v>22</v>
      </c>
      <c r="B1244">
        <v>39</v>
      </c>
      <c r="C1244">
        <v>1.85</v>
      </c>
    </row>
    <row r="1245" spans="1:3" x14ac:dyDescent="0.25">
      <c r="A1245">
        <v>32</v>
      </c>
      <c r="B1245">
        <v>45</v>
      </c>
      <c r="C1245">
        <v>1.85</v>
      </c>
    </row>
    <row r="1246" spans="1:3" x14ac:dyDescent="0.25">
      <c r="A1246">
        <v>39</v>
      </c>
      <c r="B1246">
        <v>22</v>
      </c>
      <c r="C1246">
        <v>1.85</v>
      </c>
    </row>
    <row r="1247" spans="1:3" x14ac:dyDescent="0.25">
      <c r="A1247">
        <v>45</v>
      </c>
      <c r="B1247">
        <v>32</v>
      </c>
      <c r="C1247">
        <v>1.85</v>
      </c>
    </row>
    <row r="1248" spans="1:3" x14ac:dyDescent="0.25">
      <c r="A1248">
        <v>25</v>
      </c>
      <c r="B1248">
        <v>30</v>
      </c>
      <c r="C1248">
        <v>1.8399999999999999</v>
      </c>
    </row>
    <row r="1249" spans="1:3" x14ac:dyDescent="0.25">
      <c r="A1249">
        <v>25</v>
      </c>
      <c r="B1249">
        <v>38</v>
      </c>
      <c r="C1249">
        <v>1.8399999999999999</v>
      </c>
    </row>
    <row r="1250" spans="1:3" x14ac:dyDescent="0.25">
      <c r="A1250">
        <v>30</v>
      </c>
      <c r="B1250">
        <v>25</v>
      </c>
      <c r="C1250">
        <v>1.8399999999999999</v>
      </c>
    </row>
    <row r="1251" spans="1:3" x14ac:dyDescent="0.25">
      <c r="A1251">
        <v>38</v>
      </c>
      <c r="B1251">
        <v>25</v>
      </c>
      <c r="C1251">
        <v>1.8399999999999999</v>
      </c>
    </row>
    <row r="1252" spans="1:3" x14ac:dyDescent="0.25">
      <c r="A1252">
        <v>11</v>
      </c>
      <c r="B1252">
        <v>32</v>
      </c>
      <c r="C1252">
        <v>1.8399999999999932</v>
      </c>
    </row>
    <row r="1253" spans="1:3" x14ac:dyDescent="0.25">
      <c r="A1253">
        <v>32</v>
      </c>
      <c r="B1253">
        <v>11</v>
      </c>
      <c r="C1253">
        <v>1.8399999999999932</v>
      </c>
    </row>
    <row r="1254" spans="1:3" x14ac:dyDescent="0.25">
      <c r="A1254">
        <v>24</v>
      </c>
      <c r="B1254">
        <v>36</v>
      </c>
      <c r="C1254">
        <v>1.8200000000000007</v>
      </c>
    </row>
    <row r="1255" spans="1:3" x14ac:dyDescent="0.25">
      <c r="A1255">
        <v>36</v>
      </c>
      <c r="B1255">
        <v>24</v>
      </c>
      <c r="C1255">
        <v>1.8200000000000007</v>
      </c>
    </row>
    <row r="1256" spans="1:3" x14ac:dyDescent="0.25">
      <c r="A1256">
        <v>17</v>
      </c>
      <c r="B1256">
        <v>37</v>
      </c>
      <c r="C1256">
        <v>1.8100000000000005</v>
      </c>
    </row>
    <row r="1257" spans="1:3" x14ac:dyDescent="0.25">
      <c r="A1257">
        <v>37</v>
      </c>
      <c r="B1257">
        <v>17</v>
      </c>
      <c r="C1257">
        <v>1.8100000000000005</v>
      </c>
    </row>
    <row r="1258" spans="1:3" x14ac:dyDescent="0.25">
      <c r="A1258">
        <v>7</v>
      </c>
      <c r="B1258">
        <v>17</v>
      </c>
      <c r="C1258">
        <v>1.8000000000000025</v>
      </c>
    </row>
    <row r="1259" spans="1:3" x14ac:dyDescent="0.25">
      <c r="A1259">
        <v>17</v>
      </c>
      <c r="B1259">
        <v>7</v>
      </c>
      <c r="C1259">
        <v>1.8000000000000025</v>
      </c>
    </row>
    <row r="1260" spans="1:3" x14ac:dyDescent="0.25">
      <c r="A1260">
        <v>14</v>
      </c>
      <c r="B1260">
        <v>45</v>
      </c>
      <c r="C1260">
        <v>1.7899999999999943</v>
      </c>
    </row>
    <row r="1261" spans="1:3" x14ac:dyDescent="0.25">
      <c r="A1261">
        <v>45</v>
      </c>
      <c r="B1261">
        <v>14</v>
      </c>
      <c r="C1261">
        <v>1.7899999999999943</v>
      </c>
    </row>
    <row r="1262" spans="1:3" x14ac:dyDescent="0.25">
      <c r="A1262">
        <v>3</v>
      </c>
      <c r="B1262">
        <v>30</v>
      </c>
      <c r="C1262">
        <v>1.7899999999999934</v>
      </c>
    </row>
    <row r="1263" spans="1:3" x14ac:dyDescent="0.25">
      <c r="A1263">
        <v>30</v>
      </c>
      <c r="B1263">
        <v>3</v>
      </c>
      <c r="C1263">
        <v>1.7899999999999934</v>
      </c>
    </row>
    <row r="1264" spans="1:3" x14ac:dyDescent="0.25">
      <c r="A1264">
        <v>8</v>
      </c>
      <c r="B1264">
        <v>18</v>
      </c>
      <c r="C1264">
        <v>1.7800000000000065</v>
      </c>
    </row>
    <row r="1265" spans="1:3" x14ac:dyDescent="0.25">
      <c r="A1265">
        <v>18</v>
      </c>
      <c r="B1265">
        <v>8</v>
      </c>
      <c r="C1265">
        <v>1.7800000000000065</v>
      </c>
    </row>
    <row r="1266" spans="1:3" x14ac:dyDescent="0.25">
      <c r="A1266">
        <v>16</v>
      </c>
      <c r="B1266">
        <v>35</v>
      </c>
      <c r="C1266">
        <v>1.7800000000000002</v>
      </c>
    </row>
    <row r="1267" spans="1:3" x14ac:dyDescent="0.25">
      <c r="A1267">
        <v>35</v>
      </c>
      <c r="B1267">
        <v>16</v>
      </c>
      <c r="C1267">
        <v>1.7800000000000002</v>
      </c>
    </row>
    <row r="1268" spans="1:3" x14ac:dyDescent="0.25">
      <c r="A1268">
        <v>13</v>
      </c>
      <c r="B1268">
        <v>22</v>
      </c>
      <c r="C1268">
        <v>1.7799999999999998</v>
      </c>
    </row>
    <row r="1269" spans="1:3" x14ac:dyDescent="0.25">
      <c r="A1269">
        <v>22</v>
      </c>
      <c r="B1269">
        <v>13</v>
      </c>
      <c r="C1269">
        <v>1.7799999999999998</v>
      </c>
    </row>
    <row r="1270" spans="1:3" x14ac:dyDescent="0.25">
      <c r="A1270">
        <v>10</v>
      </c>
      <c r="B1270">
        <v>18</v>
      </c>
      <c r="C1270">
        <v>1.7700000000000014</v>
      </c>
    </row>
    <row r="1271" spans="1:3" x14ac:dyDescent="0.25">
      <c r="A1271">
        <v>18</v>
      </c>
      <c r="B1271">
        <v>10</v>
      </c>
      <c r="C1271">
        <v>1.7700000000000014</v>
      </c>
    </row>
    <row r="1272" spans="1:3" x14ac:dyDescent="0.25">
      <c r="A1272">
        <v>38</v>
      </c>
      <c r="B1272">
        <v>40</v>
      </c>
      <c r="C1272">
        <v>1.77</v>
      </c>
    </row>
    <row r="1273" spans="1:3" x14ac:dyDescent="0.25">
      <c r="A1273">
        <v>40</v>
      </c>
      <c r="B1273">
        <v>38</v>
      </c>
      <c r="C1273">
        <v>1.77</v>
      </c>
    </row>
    <row r="1274" spans="1:3" x14ac:dyDescent="0.25">
      <c r="A1274">
        <v>30</v>
      </c>
      <c r="B1274">
        <v>50</v>
      </c>
      <c r="C1274">
        <v>1.7699999999999974</v>
      </c>
    </row>
    <row r="1275" spans="1:3" x14ac:dyDescent="0.25">
      <c r="A1275">
        <v>50</v>
      </c>
      <c r="B1275">
        <v>30</v>
      </c>
      <c r="C1275">
        <v>1.7699999999999974</v>
      </c>
    </row>
    <row r="1276" spans="1:3" x14ac:dyDescent="0.25">
      <c r="A1276">
        <v>3</v>
      </c>
      <c r="B1276">
        <v>24</v>
      </c>
      <c r="C1276">
        <v>1.7600000000000025</v>
      </c>
    </row>
    <row r="1277" spans="1:3" x14ac:dyDescent="0.25">
      <c r="A1277">
        <v>24</v>
      </c>
      <c r="B1277">
        <v>3</v>
      </c>
      <c r="C1277">
        <v>1.7600000000000025</v>
      </c>
    </row>
    <row r="1278" spans="1:3" x14ac:dyDescent="0.25">
      <c r="A1278">
        <v>11</v>
      </c>
      <c r="B1278">
        <v>33</v>
      </c>
      <c r="C1278">
        <v>1.7499999999999938</v>
      </c>
    </row>
    <row r="1279" spans="1:3" x14ac:dyDescent="0.25">
      <c r="A1279">
        <v>33</v>
      </c>
      <c r="B1279">
        <v>11</v>
      </c>
      <c r="C1279">
        <v>1.7499999999999938</v>
      </c>
    </row>
    <row r="1280" spans="1:3" x14ac:dyDescent="0.25">
      <c r="A1280">
        <v>9</v>
      </c>
      <c r="B1280">
        <v>17</v>
      </c>
      <c r="C1280">
        <v>1.7400000000000002</v>
      </c>
    </row>
    <row r="1281" spans="1:3" x14ac:dyDescent="0.25">
      <c r="A1281">
        <v>17</v>
      </c>
      <c r="B1281">
        <v>9</v>
      </c>
      <c r="C1281">
        <v>1.7400000000000002</v>
      </c>
    </row>
    <row r="1282" spans="1:3" x14ac:dyDescent="0.25">
      <c r="A1282">
        <v>22</v>
      </c>
      <c r="B1282">
        <v>30</v>
      </c>
      <c r="C1282">
        <v>1.7400000000000002</v>
      </c>
    </row>
    <row r="1283" spans="1:3" x14ac:dyDescent="0.25">
      <c r="A1283">
        <v>30</v>
      </c>
      <c r="B1283">
        <v>22</v>
      </c>
      <c r="C1283">
        <v>1.7400000000000002</v>
      </c>
    </row>
    <row r="1284" spans="1:3" x14ac:dyDescent="0.25">
      <c r="A1284">
        <v>9</v>
      </c>
      <c r="B1284">
        <v>9</v>
      </c>
      <c r="C1284">
        <v>1.74</v>
      </c>
    </row>
    <row r="1285" spans="1:3" x14ac:dyDescent="0.25">
      <c r="A1285">
        <v>9</v>
      </c>
      <c r="B1285">
        <v>25</v>
      </c>
      <c r="C1285">
        <v>1.7199999999999998</v>
      </c>
    </row>
    <row r="1286" spans="1:3" x14ac:dyDescent="0.25">
      <c r="A1286">
        <v>25</v>
      </c>
      <c r="B1286">
        <v>9</v>
      </c>
      <c r="C1286">
        <v>1.7199999999999998</v>
      </c>
    </row>
    <row r="1287" spans="1:3" x14ac:dyDescent="0.25">
      <c r="A1287">
        <v>6</v>
      </c>
      <c r="B1287">
        <v>36</v>
      </c>
      <c r="C1287">
        <v>1.7100000000000013</v>
      </c>
    </row>
    <row r="1288" spans="1:3" x14ac:dyDescent="0.25">
      <c r="A1288">
        <v>36</v>
      </c>
      <c r="B1288">
        <v>6</v>
      </c>
      <c r="C1288">
        <v>1.7100000000000013</v>
      </c>
    </row>
    <row r="1289" spans="1:3" x14ac:dyDescent="0.25">
      <c r="A1289">
        <v>24</v>
      </c>
      <c r="B1289">
        <v>50</v>
      </c>
      <c r="C1289">
        <v>1.7099999999999982</v>
      </c>
    </row>
    <row r="1290" spans="1:3" x14ac:dyDescent="0.25">
      <c r="A1290">
        <v>50</v>
      </c>
      <c r="B1290">
        <v>24</v>
      </c>
      <c r="C1290">
        <v>1.7099999999999982</v>
      </c>
    </row>
    <row r="1291" spans="1:3" x14ac:dyDescent="0.25">
      <c r="A1291">
        <v>6</v>
      </c>
      <c r="B1291">
        <v>32</v>
      </c>
      <c r="C1291">
        <v>1.6900000000000017</v>
      </c>
    </row>
    <row r="1292" spans="1:3" x14ac:dyDescent="0.25">
      <c r="A1292">
        <v>32</v>
      </c>
      <c r="B1292">
        <v>6</v>
      </c>
      <c r="C1292">
        <v>1.6900000000000017</v>
      </c>
    </row>
    <row r="1293" spans="1:3" x14ac:dyDescent="0.25">
      <c r="A1293">
        <v>9</v>
      </c>
      <c r="B1293">
        <v>14</v>
      </c>
      <c r="C1293">
        <v>1.6900000000000004</v>
      </c>
    </row>
    <row r="1294" spans="1:3" x14ac:dyDescent="0.25">
      <c r="A1294">
        <v>9</v>
      </c>
      <c r="B1294">
        <v>33</v>
      </c>
      <c r="C1294">
        <v>1.6900000000000004</v>
      </c>
    </row>
    <row r="1295" spans="1:3" x14ac:dyDescent="0.25">
      <c r="A1295">
        <v>14</v>
      </c>
      <c r="B1295">
        <v>9</v>
      </c>
      <c r="C1295">
        <v>1.6900000000000004</v>
      </c>
    </row>
    <row r="1296" spans="1:3" x14ac:dyDescent="0.25">
      <c r="A1296">
        <v>33</v>
      </c>
      <c r="B1296">
        <v>9</v>
      </c>
      <c r="C1296">
        <v>1.6900000000000004</v>
      </c>
    </row>
    <row r="1297" spans="1:3" x14ac:dyDescent="0.25">
      <c r="A1297">
        <v>25</v>
      </c>
      <c r="B1297">
        <v>41</v>
      </c>
      <c r="C1297">
        <v>1.69</v>
      </c>
    </row>
    <row r="1298" spans="1:3" x14ac:dyDescent="0.25">
      <c r="A1298">
        <v>41</v>
      </c>
      <c r="B1298">
        <v>25</v>
      </c>
      <c r="C1298">
        <v>1.69</v>
      </c>
    </row>
    <row r="1299" spans="1:3" x14ac:dyDescent="0.25">
      <c r="A1299">
        <v>22</v>
      </c>
      <c r="B1299">
        <v>34</v>
      </c>
      <c r="C1299">
        <v>1.6800000000000002</v>
      </c>
    </row>
    <row r="1300" spans="1:3" x14ac:dyDescent="0.25">
      <c r="A1300">
        <v>25</v>
      </c>
      <c r="B1300">
        <v>37</v>
      </c>
      <c r="C1300">
        <v>1.6800000000000002</v>
      </c>
    </row>
    <row r="1301" spans="1:3" x14ac:dyDescent="0.25">
      <c r="A1301">
        <v>34</v>
      </c>
      <c r="B1301">
        <v>22</v>
      </c>
      <c r="C1301">
        <v>1.6800000000000002</v>
      </c>
    </row>
    <row r="1302" spans="1:3" x14ac:dyDescent="0.25">
      <c r="A1302">
        <v>37</v>
      </c>
      <c r="B1302">
        <v>25</v>
      </c>
      <c r="C1302">
        <v>1.6800000000000002</v>
      </c>
    </row>
    <row r="1303" spans="1:3" x14ac:dyDescent="0.25">
      <c r="A1303">
        <v>34</v>
      </c>
      <c r="B1303">
        <v>46</v>
      </c>
      <c r="C1303">
        <v>1.68</v>
      </c>
    </row>
    <row r="1304" spans="1:3" x14ac:dyDescent="0.25">
      <c r="A1304">
        <v>46</v>
      </c>
      <c r="B1304">
        <v>34</v>
      </c>
      <c r="C1304">
        <v>1.68</v>
      </c>
    </row>
    <row r="1305" spans="1:3" x14ac:dyDescent="0.25">
      <c r="A1305">
        <v>7</v>
      </c>
      <c r="B1305">
        <v>15</v>
      </c>
      <c r="C1305">
        <v>1.670000000000007</v>
      </c>
    </row>
    <row r="1306" spans="1:3" x14ac:dyDescent="0.25">
      <c r="A1306">
        <v>15</v>
      </c>
      <c r="B1306">
        <v>7</v>
      </c>
      <c r="C1306">
        <v>1.670000000000007</v>
      </c>
    </row>
    <row r="1307" spans="1:3" x14ac:dyDescent="0.25">
      <c r="A1307">
        <v>9</v>
      </c>
      <c r="B1307">
        <v>46</v>
      </c>
      <c r="C1307">
        <v>1.67</v>
      </c>
    </row>
    <row r="1308" spans="1:3" x14ac:dyDescent="0.25">
      <c r="A1308">
        <v>19</v>
      </c>
      <c r="B1308">
        <v>47</v>
      </c>
      <c r="C1308">
        <v>1.67</v>
      </c>
    </row>
    <row r="1309" spans="1:3" x14ac:dyDescent="0.25">
      <c r="A1309">
        <v>46</v>
      </c>
      <c r="B1309">
        <v>9</v>
      </c>
      <c r="C1309">
        <v>1.67</v>
      </c>
    </row>
    <row r="1310" spans="1:3" x14ac:dyDescent="0.25">
      <c r="A1310">
        <v>47</v>
      </c>
      <c r="B1310">
        <v>19</v>
      </c>
      <c r="C1310">
        <v>1.67</v>
      </c>
    </row>
    <row r="1311" spans="1:3" x14ac:dyDescent="0.25">
      <c r="A1311">
        <v>25</v>
      </c>
      <c r="B1311">
        <v>29</v>
      </c>
      <c r="C1311">
        <v>1.6699999999999986</v>
      </c>
    </row>
    <row r="1312" spans="1:3" x14ac:dyDescent="0.25">
      <c r="A1312">
        <v>29</v>
      </c>
      <c r="B1312">
        <v>25</v>
      </c>
      <c r="C1312">
        <v>1.6699999999999986</v>
      </c>
    </row>
    <row r="1313" spans="1:3" x14ac:dyDescent="0.25">
      <c r="A1313">
        <v>27</v>
      </c>
      <c r="B1313">
        <v>46</v>
      </c>
      <c r="C1313">
        <v>1.6599999999999997</v>
      </c>
    </row>
    <row r="1314" spans="1:3" x14ac:dyDescent="0.25">
      <c r="A1314">
        <v>46</v>
      </c>
      <c r="B1314">
        <v>27</v>
      </c>
      <c r="C1314">
        <v>1.6599999999999997</v>
      </c>
    </row>
    <row r="1315" spans="1:3" x14ac:dyDescent="0.25">
      <c r="A1315">
        <v>6</v>
      </c>
      <c r="B1315">
        <v>9</v>
      </c>
      <c r="C1315">
        <v>1.6400000000000103</v>
      </c>
    </row>
    <row r="1316" spans="1:3" x14ac:dyDescent="0.25">
      <c r="A1316">
        <v>9</v>
      </c>
      <c r="B1316">
        <v>6</v>
      </c>
      <c r="C1316">
        <v>1.6400000000000103</v>
      </c>
    </row>
    <row r="1317" spans="1:3" x14ac:dyDescent="0.25">
      <c r="A1317">
        <v>16</v>
      </c>
      <c r="B1317">
        <v>39</v>
      </c>
      <c r="C1317">
        <v>1.6400000000000006</v>
      </c>
    </row>
    <row r="1318" spans="1:3" x14ac:dyDescent="0.25">
      <c r="A1318">
        <v>39</v>
      </c>
      <c r="B1318">
        <v>16</v>
      </c>
      <c r="C1318">
        <v>1.6400000000000006</v>
      </c>
    </row>
    <row r="1319" spans="1:3" x14ac:dyDescent="0.25">
      <c r="A1319">
        <v>19</v>
      </c>
      <c r="B1319">
        <v>28</v>
      </c>
      <c r="C1319">
        <v>1.6300000000000008</v>
      </c>
    </row>
    <row r="1320" spans="1:3" x14ac:dyDescent="0.25">
      <c r="A1320">
        <v>28</v>
      </c>
      <c r="B1320">
        <v>19</v>
      </c>
      <c r="C1320">
        <v>1.6300000000000008</v>
      </c>
    </row>
    <row r="1321" spans="1:3" x14ac:dyDescent="0.25">
      <c r="A1321">
        <v>12</v>
      </c>
      <c r="B1321">
        <v>27</v>
      </c>
      <c r="C1321">
        <v>1.6200000000000032</v>
      </c>
    </row>
    <row r="1322" spans="1:3" x14ac:dyDescent="0.25">
      <c r="A1322">
        <v>27</v>
      </c>
      <c r="B1322">
        <v>12</v>
      </c>
      <c r="C1322">
        <v>1.6200000000000032</v>
      </c>
    </row>
    <row r="1323" spans="1:3" x14ac:dyDescent="0.25">
      <c r="A1323">
        <v>18</v>
      </c>
      <c r="B1323">
        <v>41</v>
      </c>
      <c r="C1323">
        <v>1.6200000000000006</v>
      </c>
    </row>
    <row r="1324" spans="1:3" x14ac:dyDescent="0.25">
      <c r="A1324">
        <v>41</v>
      </c>
      <c r="B1324">
        <v>18</v>
      </c>
      <c r="C1324">
        <v>1.6200000000000006</v>
      </c>
    </row>
    <row r="1325" spans="1:3" x14ac:dyDescent="0.25">
      <c r="A1325">
        <v>23</v>
      </c>
      <c r="B1325">
        <v>25</v>
      </c>
      <c r="C1325">
        <v>1.6199999999999999</v>
      </c>
    </row>
    <row r="1326" spans="1:3" x14ac:dyDescent="0.25">
      <c r="A1326">
        <v>25</v>
      </c>
      <c r="B1326">
        <v>23</v>
      </c>
      <c r="C1326">
        <v>1.6199999999999999</v>
      </c>
    </row>
    <row r="1327" spans="1:3" x14ac:dyDescent="0.25">
      <c r="A1327">
        <v>25</v>
      </c>
      <c r="B1327">
        <v>43</v>
      </c>
      <c r="C1327">
        <v>1.6099999999999999</v>
      </c>
    </row>
    <row r="1328" spans="1:3" x14ac:dyDescent="0.25">
      <c r="A1328">
        <v>43</v>
      </c>
      <c r="B1328">
        <v>25</v>
      </c>
      <c r="C1328">
        <v>1.6099999999999999</v>
      </c>
    </row>
    <row r="1329" spans="1:3" x14ac:dyDescent="0.25">
      <c r="A1329">
        <v>7</v>
      </c>
      <c r="B1329">
        <v>25</v>
      </c>
      <c r="C1329">
        <v>1.6099999999999981</v>
      </c>
    </row>
    <row r="1330" spans="1:3" x14ac:dyDescent="0.25">
      <c r="A1330">
        <v>25</v>
      </c>
      <c r="B1330">
        <v>7</v>
      </c>
      <c r="C1330">
        <v>1.6099999999999981</v>
      </c>
    </row>
    <row r="1331" spans="1:3" x14ac:dyDescent="0.25">
      <c r="A1331">
        <v>34</v>
      </c>
      <c r="B1331">
        <v>36</v>
      </c>
      <c r="C1331">
        <v>1.5900000000000003</v>
      </c>
    </row>
    <row r="1332" spans="1:3" x14ac:dyDescent="0.25">
      <c r="A1332">
        <v>36</v>
      </c>
      <c r="B1332">
        <v>34</v>
      </c>
      <c r="C1332">
        <v>1.5900000000000003</v>
      </c>
    </row>
    <row r="1333" spans="1:3" x14ac:dyDescent="0.25">
      <c r="A1333">
        <v>23</v>
      </c>
      <c r="B1333">
        <v>36</v>
      </c>
      <c r="C1333">
        <v>1.59</v>
      </c>
    </row>
    <row r="1334" spans="1:3" x14ac:dyDescent="0.25">
      <c r="A1334">
        <v>36</v>
      </c>
      <c r="B1334">
        <v>23</v>
      </c>
      <c r="C1334">
        <v>1.59</v>
      </c>
    </row>
    <row r="1335" spans="1:3" x14ac:dyDescent="0.25">
      <c r="A1335">
        <v>22</v>
      </c>
      <c r="B1335">
        <v>23</v>
      </c>
      <c r="C1335">
        <v>1.58</v>
      </c>
    </row>
    <row r="1336" spans="1:3" x14ac:dyDescent="0.25">
      <c r="A1336">
        <v>23</v>
      </c>
      <c r="B1336">
        <v>22</v>
      </c>
      <c r="C1336">
        <v>1.58</v>
      </c>
    </row>
    <row r="1337" spans="1:3" x14ac:dyDescent="0.25">
      <c r="A1337">
        <v>42</v>
      </c>
      <c r="B1337">
        <v>44</v>
      </c>
      <c r="C1337">
        <v>1.5799999999999998</v>
      </c>
    </row>
    <row r="1338" spans="1:3" x14ac:dyDescent="0.25">
      <c r="A1338">
        <v>44</v>
      </c>
      <c r="B1338">
        <v>42</v>
      </c>
      <c r="C1338">
        <v>1.5799999999999998</v>
      </c>
    </row>
    <row r="1339" spans="1:3" x14ac:dyDescent="0.25">
      <c r="A1339">
        <v>8</v>
      </c>
      <c r="B1339">
        <v>44</v>
      </c>
      <c r="C1339">
        <v>1.5799999999999994</v>
      </c>
    </row>
    <row r="1340" spans="1:3" x14ac:dyDescent="0.25">
      <c r="A1340">
        <v>44</v>
      </c>
      <c r="B1340">
        <v>8</v>
      </c>
      <c r="C1340">
        <v>1.5799999999999994</v>
      </c>
    </row>
    <row r="1341" spans="1:3" x14ac:dyDescent="0.25">
      <c r="A1341">
        <v>10</v>
      </c>
      <c r="B1341">
        <v>44</v>
      </c>
      <c r="C1341">
        <v>1.5700000000000085</v>
      </c>
    </row>
    <row r="1342" spans="1:3" x14ac:dyDescent="0.25">
      <c r="A1342">
        <v>44</v>
      </c>
      <c r="B1342">
        <v>10</v>
      </c>
      <c r="C1342">
        <v>1.5700000000000085</v>
      </c>
    </row>
    <row r="1343" spans="1:3" x14ac:dyDescent="0.25">
      <c r="A1343">
        <v>22</v>
      </c>
      <c r="B1343">
        <v>24</v>
      </c>
      <c r="C1343">
        <v>1.5700000000000003</v>
      </c>
    </row>
    <row r="1344" spans="1:3" x14ac:dyDescent="0.25">
      <c r="A1344">
        <v>24</v>
      </c>
      <c r="B1344">
        <v>22</v>
      </c>
      <c r="C1344">
        <v>1.5700000000000003</v>
      </c>
    </row>
    <row r="1345" spans="1:3" x14ac:dyDescent="0.25">
      <c r="A1345">
        <v>39</v>
      </c>
      <c r="B1345">
        <v>40</v>
      </c>
      <c r="C1345">
        <v>1.5600000000000005</v>
      </c>
    </row>
    <row r="1346" spans="1:3" x14ac:dyDescent="0.25">
      <c r="A1346">
        <v>40</v>
      </c>
      <c r="B1346">
        <v>39</v>
      </c>
      <c r="C1346">
        <v>1.5600000000000005</v>
      </c>
    </row>
    <row r="1347" spans="1:3" x14ac:dyDescent="0.25">
      <c r="A1347">
        <v>2</v>
      </c>
      <c r="B1347">
        <v>19</v>
      </c>
      <c r="C1347">
        <v>1.5599999999999969</v>
      </c>
    </row>
    <row r="1348" spans="1:3" x14ac:dyDescent="0.25">
      <c r="A1348">
        <v>19</v>
      </c>
      <c r="B1348">
        <v>2</v>
      </c>
      <c r="C1348">
        <v>1.5599999999999969</v>
      </c>
    </row>
    <row r="1349" spans="1:3" x14ac:dyDescent="0.25">
      <c r="A1349">
        <v>23</v>
      </c>
      <c r="B1349">
        <v>47</v>
      </c>
      <c r="C1349">
        <v>1.5500000000000009</v>
      </c>
    </row>
    <row r="1350" spans="1:3" x14ac:dyDescent="0.25">
      <c r="A1350">
        <v>47</v>
      </c>
      <c r="B1350">
        <v>23</v>
      </c>
      <c r="C1350">
        <v>1.5500000000000009</v>
      </c>
    </row>
    <row r="1351" spans="1:3" x14ac:dyDescent="0.25">
      <c r="A1351">
        <v>11</v>
      </c>
      <c r="B1351">
        <v>42</v>
      </c>
      <c r="C1351">
        <v>1.539999999999992</v>
      </c>
    </row>
    <row r="1352" spans="1:3" x14ac:dyDescent="0.25">
      <c r="A1352">
        <v>42</v>
      </c>
      <c r="B1352">
        <v>11</v>
      </c>
      <c r="C1352">
        <v>1.539999999999992</v>
      </c>
    </row>
    <row r="1353" spans="1:3" x14ac:dyDescent="0.25">
      <c r="A1353">
        <v>9</v>
      </c>
      <c r="B1353">
        <v>44</v>
      </c>
      <c r="C1353">
        <v>1.5299999999999998</v>
      </c>
    </row>
    <row r="1354" spans="1:3" x14ac:dyDescent="0.25">
      <c r="A1354">
        <v>13</v>
      </c>
      <c r="B1354">
        <v>41</v>
      </c>
      <c r="C1354">
        <v>1.5299999999999998</v>
      </c>
    </row>
    <row r="1355" spans="1:3" x14ac:dyDescent="0.25">
      <c r="A1355">
        <v>41</v>
      </c>
      <c r="B1355">
        <v>13</v>
      </c>
      <c r="C1355">
        <v>1.5299999999999998</v>
      </c>
    </row>
    <row r="1356" spans="1:3" x14ac:dyDescent="0.25">
      <c r="A1356">
        <v>44</v>
      </c>
      <c r="B1356">
        <v>9</v>
      </c>
      <c r="C1356">
        <v>1.5299999999999998</v>
      </c>
    </row>
    <row r="1357" spans="1:3" x14ac:dyDescent="0.25">
      <c r="A1357">
        <v>23</v>
      </c>
      <c r="B1357">
        <v>28</v>
      </c>
      <c r="C1357">
        <v>1.5099999999999982</v>
      </c>
    </row>
    <row r="1358" spans="1:3" x14ac:dyDescent="0.25">
      <c r="A1358">
        <v>28</v>
      </c>
      <c r="B1358">
        <v>23</v>
      </c>
      <c r="C1358">
        <v>1.5099999999999982</v>
      </c>
    </row>
    <row r="1359" spans="1:3" x14ac:dyDescent="0.25">
      <c r="A1359">
        <v>4</v>
      </c>
      <c r="B1359">
        <v>44</v>
      </c>
      <c r="C1359">
        <v>1.509999999999992</v>
      </c>
    </row>
    <row r="1360" spans="1:3" x14ac:dyDescent="0.25">
      <c r="A1360">
        <v>44</v>
      </c>
      <c r="B1360">
        <v>4</v>
      </c>
      <c r="C1360">
        <v>1.509999999999992</v>
      </c>
    </row>
    <row r="1361" spans="1:3" x14ac:dyDescent="0.25">
      <c r="A1361">
        <v>19</v>
      </c>
      <c r="B1361">
        <v>36</v>
      </c>
      <c r="C1361">
        <v>1.4999999999999996</v>
      </c>
    </row>
    <row r="1362" spans="1:3" x14ac:dyDescent="0.25">
      <c r="A1362">
        <v>36</v>
      </c>
      <c r="B1362">
        <v>19</v>
      </c>
      <c r="C1362">
        <v>1.4999999999999996</v>
      </c>
    </row>
    <row r="1363" spans="1:3" x14ac:dyDescent="0.25">
      <c r="A1363">
        <v>34</v>
      </c>
      <c r="B1363">
        <v>47</v>
      </c>
      <c r="C1363">
        <v>1.4900000000000011</v>
      </c>
    </row>
    <row r="1364" spans="1:3" x14ac:dyDescent="0.25">
      <c r="A1364">
        <v>47</v>
      </c>
      <c r="B1364">
        <v>34</v>
      </c>
      <c r="C1364">
        <v>1.4900000000000011</v>
      </c>
    </row>
    <row r="1365" spans="1:3" x14ac:dyDescent="0.25">
      <c r="A1365">
        <v>30</v>
      </c>
      <c r="B1365">
        <v>48</v>
      </c>
      <c r="C1365">
        <v>1.4899999999999998</v>
      </c>
    </row>
    <row r="1366" spans="1:3" x14ac:dyDescent="0.25">
      <c r="A1366">
        <v>48</v>
      </c>
      <c r="B1366">
        <v>30</v>
      </c>
      <c r="C1366">
        <v>1.4899999999999998</v>
      </c>
    </row>
    <row r="1367" spans="1:3" x14ac:dyDescent="0.25">
      <c r="A1367">
        <v>8</v>
      </c>
      <c r="B1367">
        <v>48</v>
      </c>
      <c r="C1367">
        <v>1.4800000000000093</v>
      </c>
    </row>
    <row r="1368" spans="1:3" x14ac:dyDescent="0.25">
      <c r="A1368">
        <v>48</v>
      </c>
      <c r="B1368">
        <v>8</v>
      </c>
      <c r="C1368">
        <v>1.4800000000000093</v>
      </c>
    </row>
    <row r="1369" spans="1:3" x14ac:dyDescent="0.25">
      <c r="A1369">
        <v>8</v>
      </c>
      <c r="B1369">
        <v>24</v>
      </c>
      <c r="C1369">
        <v>1.4600000000000053</v>
      </c>
    </row>
    <row r="1370" spans="1:3" x14ac:dyDescent="0.25">
      <c r="A1370">
        <v>24</v>
      </c>
      <c r="B1370">
        <v>8</v>
      </c>
      <c r="C1370">
        <v>1.4600000000000053</v>
      </c>
    </row>
    <row r="1371" spans="1:3" x14ac:dyDescent="0.25">
      <c r="A1371">
        <v>10</v>
      </c>
      <c r="B1371">
        <v>48</v>
      </c>
      <c r="C1371">
        <v>1.4599999999999991</v>
      </c>
    </row>
    <row r="1372" spans="1:3" x14ac:dyDescent="0.25">
      <c r="A1372">
        <v>48</v>
      </c>
      <c r="B1372">
        <v>10</v>
      </c>
      <c r="C1372">
        <v>1.4599999999999991</v>
      </c>
    </row>
    <row r="1373" spans="1:3" x14ac:dyDescent="0.25">
      <c r="A1373">
        <v>9</v>
      </c>
      <c r="B1373">
        <v>16</v>
      </c>
      <c r="C1373">
        <v>1.4500000000000002</v>
      </c>
    </row>
    <row r="1374" spans="1:3" x14ac:dyDescent="0.25">
      <c r="A1374">
        <v>16</v>
      </c>
      <c r="B1374">
        <v>9</v>
      </c>
      <c r="C1374">
        <v>1.4500000000000002</v>
      </c>
    </row>
    <row r="1375" spans="1:3" x14ac:dyDescent="0.25">
      <c r="A1375">
        <v>2</v>
      </c>
      <c r="B1375">
        <v>23</v>
      </c>
      <c r="C1375">
        <v>1.4499999999999995</v>
      </c>
    </row>
    <row r="1376" spans="1:3" x14ac:dyDescent="0.25">
      <c r="A1376">
        <v>23</v>
      </c>
      <c r="B1376">
        <v>2</v>
      </c>
      <c r="C1376">
        <v>1.4499999999999995</v>
      </c>
    </row>
    <row r="1377" spans="1:3" x14ac:dyDescent="0.25">
      <c r="A1377">
        <v>28</v>
      </c>
      <c r="B1377">
        <v>34</v>
      </c>
      <c r="C1377">
        <v>1.4499999999999984</v>
      </c>
    </row>
    <row r="1378" spans="1:3" x14ac:dyDescent="0.25">
      <c r="A1378">
        <v>34</v>
      </c>
      <c r="B1378">
        <v>28</v>
      </c>
      <c r="C1378">
        <v>1.4499999999999984</v>
      </c>
    </row>
    <row r="1379" spans="1:3" x14ac:dyDescent="0.25">
      <c r="A1379">
        <v>10</v>
      </c>
      <c r="B1379">
        <v>24</v>
      </c>
      <c r="C1379">
        <v>1.4400000000000093</v>
      </c>
    </row>
    <row r="1380" spans="1:3" x14ac:dyDescent="0.25">
      <c r="A1380">
        <v>24</v>
      </c>
      <c r="B1380">
        <v>10</v>
      </c>
      <c r="C1380">
        <v>1.4400000000000093</v>
      </c>
    </row>
    <row r="1381" spans="1:3" x14ac:dyDescent="0.25">
      <c r="A1381">
        <v>9</v>
      </c>
      <c r="B1381">
        <v>19</v>
      </c>
      <c r="C1381">
        <v>1.4299999999999997</v>
      </c>
    </row>
    <row r="1382" spans="1:3" x14ac:dyDescent="0.25">
      <c r="A1382">
        <v>19</v>
      </c>
      <c r="B1382">
        <v>9</v>
      </c>
      <c r="C1382">
        <v>1.4299999999999997</v>
      </c>
    </row>
    <row r="1383" spans="1:3" x14ac:dyDescent="0.25">
      <c r="A1383">
        <v>12</v>
      </c>
      <c r="B1383">
        <v>30</v>
      </c>
      <c r="C1383">
        <v>1.420000000000003</v>
      </c>
    </row>
    <row r="1384" spans="1:3" x14ac:dyDescent="0.25">
      <c r="A1384">
        <v>30</v>
      </c>
      <c r="B1384">
        <v>12</v>
      </c>
      <c r="C1384">
        <v>1.420000000000003</v>
      </c>
    </row>
    <row r="1385" spans="1:3" x14ac:dyDescent="0.25">
      <c r="A1385">
        <v>11</v>
      </c>
      <c r="B1385">
        <v>22</v>
      </c>
      <c r="C1385">
        <v>1.4100000000000024</v>
      </c>
    </row>
    <row r="1386" spans="1:3" x14ac:dyDescent="0.25">
      <c r="A1386">
        <v>22</v>
      </c>
      <c r="B1386">
        <v>11</v>
      </c>
      <c r="C1386">
        <v>1.4100000000000024</v>
      </c>
    </row>
    <row r="1387" spans="1:3" x14ac:dyDescent="0.25">
      <c r="A1387">
        <v>13</v>
      </c>
      <c r="B1387">
        <v>27</v>
      </c>
      <c r="C1387">
        <v>1.4099999999999997</v>
      </c>
    </row>
    <row r="1388" spans="1:3" x14ac:dyDescent="0.25">
      <c r="A1388">
        <v>27</v>
      </c>
      <c r="B1388">
        <v>13</v>
      </c>
      <c r="C1388">
        <v>1.4099999999999997</v>
      </c>
    </row>
    <row r="1389" spans="1:3" x14ac:dyDescent="0.25">
      <c r="A1389">
        <v>17</v>
      </c>
      <c r="B1389">
        <v>49</v>
      </c>
      <c r="C1389">
        <v>1.4000000000000004</v>
      </c>
    </row>
    <row r="1390" spans="1:3" x14ac:dyDescent="0.25">
      <c r="A1390">
        <v>49</v>
      </c>
      <c r="B1390">
        <v>17</v>
      </c>
      <c r="C1390">
        <v>1.4000000000000004</v>
      </c>
    </row>
    <row r="1391" spans="1:3" x14ac:dyDescent="0.25">
      <c r="A1391">
        <v>2</v>
      </c>
      <c r="B1391">
        <v>34</v>
      </c>
      <c r="C1391">
        <v>1.3999999999999941</v>
      </c>
    </row>
    <row r="1392" spans="1:3" x14ac:dyDescent="0.25">
      <c r="A1392">
        <v>34</v>
      </c>
      <c r="B1392">
        <v>2</v>
      </c>
      <c r="C1392">
        <v>1.3999999999999941</v>
      </c>
    </row>
    <row r="1393" spans="1:3" x14ac:dyDescent="0.25">
      <c r="A1393">
        <v>18</v>
      </c>
      <c r="B1393">
        <v>38</v>
      </c>
      <c r="C1393">
        <v>1.3699999999999997</v>
      </c>
    </row>
    <row r="1394" spans="1:3" x14ac:dyDescent="0.25">
      <c r="A1394">
        <v>19</v>
      </c>
      <c r="B1394">
        <v>22</v>
      </c>
      <c r="C1394">
        <v>1.3699999999999997</v>
      </c>
    </row>
    <row r="1395" spans="1:3" x14ac:dyDescent="0.25">
      <c r="A1395">
        <v>22</v>
      </c>
      <c r="B1395">
        <v>19</v>
      </c>
      <c r="C1395">
        <v>1.3699999999999997</v>
      </c>
    </row>
    <row r="1396" spans="1:3" x14ac:dyDescent="0.25">
      <c r="A1396">
        <v>38</v>
      </c>
      <c r="B1396">
        <v>18</v>
      </c>
      <c r="C1396">
        <v>1.3699999999999997</v>
      </c>
    </row>
    <row r="1397" spans="1:3" x14ac:dyDescent="0.25">
      <c r="A1397">
        <v>20</v>
      </c>
      <c r="B1397">
        <v>37</v>
      </c>
      <c r="C1397">
        <v>1.3600000000000008</v>
      </c>
    </row>
    <row r="1398" spans="1:3" x14ac:dyDescent="0.25">
      <c r="A1398">
        <v>37</v>
      </c>
      <c r="B1398">
        <v>20</v>
      </c>
      <c r="C1398">
        <v>1.3600000000000008</v>
      </c>
    </row>
    <row r="1399" spans="1:3" x14ac:dyDescent="0.25">
      <c r="A1399">
        <v>10</v>
      </c>
      <c r="B1399">
        <v>26</v>
      </c>
      <c r="C1399">
        <v>1.3600000000000005</v>
      </c>
    </row>
    <row r="1400" spans="1:3" x14ac:dyDescent="0.25">
      <c r="A1400">
        <v>26</v>
      </c>
      <c r="B1400">
        <v>10</v>
      </c>
      <c r="C1400">
        <v>1.3600000000000005</v>
      </c>
    </row>
    <row r="1401" spans="1:3" x14ac:dyDescent="0.25">
      <c r="A1401">
        <v>20</v>
      </c>
      <c r="B1401">
        <v>49</v>
      </c>
      <c r="C1401">
        <v>1.3600000000000003</v>
      </c>
    </row>
    <row r="1402" spans="1:3" x14ac:dyDescent="0.25">
      <c r="A1402">
        <v>49</v>
      </c>
      <c r="B1402">
        <v>20</v>
      </c>
      <c r="C1402">
        <v>1.3600000000000003</v>
      </c>
    </row>
    <row r="1403" spans="1:3" x14ac:dyDescent="0.25">
      <c r="A1403">
        <v>20</v>
      </c>
      <c r="B1403">
        <v>20</v>
      </c>
      <c r="C1403">
        <v>1.36</v>
      </c>
    </row>
    <row r="1404" spans="1:3" x14ac:dyDescent="0.25">
      <c r="A1404">
        <v>3</v>
      </c>
      <c r="B1404">
        <v>19</v>
      </c>
      <c r="C1404">
        <v>1.3599999999999941</v>
      </c>
    </row>
    <row r="1405" spans="1:3" x14ac:dyDescent="0.25">
      <c r="A1405">
        <v>19</v>
      </c>
      <c r="B1405">
        <v>3</v>
      </c>
      <c r="C1405">
        <v>1.3599999999999941</v>
      </c>
    </row>
    <row r="1406" spans="1:3" x14ac:dyDescent="0.25">
      <c r="A1406">
        <v>7</v>
      </c>
      <c r="B1406">
        <v>20</v>
      </c>
      <c r="C1406">
        <v>1.3500000000000019</v>
      </c>
    </row>
    <row r="1407" spans="1:3" x14ac:dyDescent="0.25">
      <c r="A1407">
        <v>20</v>
      </c>
      <c r="B1407">
        <v>7</v>
      </c>
      <c r="C1407">
        <v>1.3500000000000019</v>
      </c>
    </row>
    <row r="1408" spans="1:3" x14ac:dyDescent="0.25">
      <c r="A1408">
        <v>18</v>
      </c>
      <c r="B1408">
        <v>35</v>
      </c>
      <c r="C1408">
        <v>1.3500000000000005</v>
      </c>
    </row>
    <row r="1409" spans="1:3" x14ac:dyDescent="0.25">
      <c r="A1409">
        <v>35</v>
      </c>
      <c r="B1409">
        <v>18</v>
      </c>
      <c r="C1409">
        <v>1.3500000000000005</v>
      </c>
    </row>
    <row r="1410" spans="1:3" x14ac:dyDescent="0.25">
      <c r="A1410">
        <v>8</v>
      </c>
      <c r="B1410">
        <v>26</v>
      </c>
      <c r="C1410">
        <v>1.3499999999999954</v>
      </c>
    </row>
    <row r="1411" spans="1:3" x14ac:dyDescent="0.25">
      <c r="A1411">
        <v>26</v>
      </c>
      <c r="B1411">
        <v>8</v>
      </c>
      <c r="C1411">
        <v>1.3499999999999954</v>
      </c>
    </row>
    <row r="1412" spans="1:3" x14ac:dyDescent="0.25">
      <c r="A1412">
        <v>24</v>
      </c>
      <c r="B1412">
        <v>48</v>
      </c>
      <c r="C1412">
        <v>1.3399999999999999</v>
      </c>
    </row>
    <row r="1413" spans="1:3" x14ac:dyDescent="0.25">
      <c r="A1413">
        <v>48</v>
      </c>
      <c r="B1413">
        <v>24</v>
      </c>
      <c r="C1413">
        <v>1.3399999999999999</v>
      </c>
    </row>
    <row r="1414" spans="1:3" x14ac:dyDescent="0.25">
      <c r="A1414">
        <v>8</v>
      </c>
      <c r="B1414">
        <v>35</v>
      </c>
      <c r="C1414">
        <v>1.3399999999999972</v>
      </c>
    </row>
    <row r="1415" spans="1:3" x14ac:dyDescent="0.25">
      <c r="A1415">
        <v>35</v>
      </c>
      <c r="B1415">
        <v>8</v>
      </c>
      <c r="C1415">
        <v>1.3399999999999972</v>
      </c>
    </row>
    <row r="1416" spans="1:3" x14ac:dyDescent="0.25">
      <c r="A1416">
        <v>12</v>
      </c>
      <c r="B1416">
        <v>14</v>
      </c>
      <c r="C1416">
        <v>1.3399999999999963</v>
      </c>
    </row>
    <row r="1417" spans="1:3" x14ac:dyDescent="0.25">
      <c r="A1417">
        <v>14</v>
      </c>
      <c r="B1417">
        <v>12</v>
      </c>
      <c r="C1417">
        <v>1.3399999999999963</v>
      </c>
    </row>
    <row r="1418" spans="1:3" x14ac:dyDescent="0.25">
      <c r="A1418">
        <v>19</v>
      </c>
      <c r="B1418">
        <v>50</v>
      </c>
      <c r="C1418">
        <v>1.33</v>
      </c>
    </row>
    <row r="1419" spans="1:3" x14ac:dyDescent="0.25">
      <c r="A1419">
        <v>22</v>
      </c>
      <c r="B1419">
        <v>26</v>
      </c>
      <c r="C1419">
        <v>1.33</v>
      </c>
    </row>
    <row r="1420" spans="1:3" x14ac:dyDescent="0.25">
      <c r="A1420">
        <v>26</v>
      </c>
      <c r="B1420">
        <v>22</v>
      </c>
      <c r="C1420">
        <v>1.33</v>
      </c>
    </row>
    <row r="1421" spans="1:3" x14ac:dyDescent="0.25">
      <c r="A1421">
        <v>50</v>
      </c>
      <c r="B1421">
        <v>19</v>
      </c>
      <c r="C1421">
        <v>1.33</v>
      </c>
    </row>
    <row r="1422" spans="1:3" x14ac:dyDescent="0.25">
      <c r="A1422">
        <v>25</v>
      </c>
      <c r="B1422">
        <v>49</v>
      </c>
      <c r="C1422">
        <v>1.3299999999999996</v>
      </c>
    </row>
    <row r="1423" spans="1:3" x14ac:dyDescent="0.25">
      <c r="A1423">
        <v>49</v>
      </c>
      <c r="B1423">
        <v>25</v>
      </c>
      <c r="C1423">
        <v>1.3299999999999996</v>
      </c>
    </row>
    <row r="1424" spans="1:3" x14ac:dyDescent="0.25">
      <c r="A1424">
        <v>12</v>
      </c>
      <c r="B1424">
        <v>24</v>
      </c>
      <c r="C1424">
        <v>1.3200000000000047</v>
      </c>
    </row>
    <row r="1425" spans="1:3" x14ac:dyDescent="0.25">
      <c r="A1425">
        <v>24</v>
      </c>
      <c r="B1425">
        <v>12</v>
      </c>
      <c r="C1425">
        <v>1.3200000000000047</v>
      </c>
    </row>
    <row r="1426" spans="1:3" x14ac:dyDescent="0.25">
      <c r="A1426">
        <v>5</v>
      </c>
      <c r="B1426">
        <v>43</v>
      </c>
      <c r="C1426">
        <v>1.3199999999999985</v>
      </c>
    </row>
    <row r="1427" spans="1:3" x14ac:dyDescent="0.25">
      <c r="A1427">
        <v>43</v>
      </c>
      <c r="B1427">
        <v>5</v>
      </c>
      <c r="C1427">
        <v>1.3199999999999985</v>
      </c>
    </row>
    <row r="1428" spans="1:3" x14ac:dyDescent="0.25">
      <c r="A1428">
        <v>10</v>
      </c>
      <c r="B1428">
        <v>35</v>
      </c>
      <c r="C1428">
        <v>1.3100000000000103</v>
      </c>
    </row>
    <row r="1429" spans="1:3" x14ac:dyDescent="0.25">
      <c r="A1429">
        <v>35</v>
      </c>
      <c r="B1429">
        <v>10</v>
      </c>
      <c r="C1429">
        <v>1.3100000000000103</v>
      </c>
    </row>
    <row r="1430" spans="1:3" x14ac:dyDescent="0.25">
      <c r="A1430">
        <v>9</v>
      </c>
      <c r="B1430">
        <v>24</v>
      </c>
      <c r="C1430">
        <v>1.3100000000000005</v>
      </c>
    </row>
    <row r="1431" spans="1:3" x14ac:dyDescent="0.25">
      <c r="A1431">
        <v>24</v>
      </c>
      <c r="B1431">
        <v>9</v>
      </c>
      <c r="C1431">
        <v>1.3100000000000005</v>
      </c>
    </row>
    <row r="1432" spans="1:3" x14ac:dyDescent="0.25">
      <c r="A1432">
        <v>32</v>
      </c>
      <c r="B1432">
        <v>46</v>
      </c>
      <c r="C1432">
        <v>1.31</v>
      </c>
    </row>
    <row r="1433" spans="1:3" x14ac:dyDescent="0.25">
      <c r="A1433">
        <v>36</v>
      </c>
      <c r="B1433">
        <v>49</v>
      </c>
      <c r="C1433">
        <v>1.31</v>
      </c>
    </row>
    <row r="1434" spans="1:3" x14ac:dyDescent="0.25">
      <c r="A1434">
        <v>46</v>
      </c>
      <c r="B1434">
        <v>32</v>
      </c>
      <c r="C1434">
        <v>1.31</v>
      </c>
    </row>
    <row r="1435" spans="1:3" x14ac:dyDescent="0.25">
      <c r="A1435">
        <v>49</v>
      </c>
      <c r="B1435">
        <v>36</v>
      </c>
      <c r="C1435">
        <v>1.31</v>
      </c>
    </row>
    <row r="1436" spans="1:3" x14ac:dyDescent="0.25">
      <c r="A1436">
        <v>3</v>
      </c>
      <c r="B1436">
        <v>23</v>
      </c>
      <c r="C1436">
        <v>1.3099999999999989</v>
      </c>
    </row>
    <row r="1437" spans="1:3" x14ac:dyDescent="0.25">
      <c r="A1437">
        <v>23</v>
      </c>
      <c r="B1437">
        <v>3</v>
      </c>
      <c r="C1437">
        <v>1.3099999999999989</v>
      </c>
    </row>
    <row r="1438" spans="1:3" x14ac:dyDescent="0.25">
      <c r="A1438">
        <v>23</v>
      </c>
      <c r="B1438">
        <v>50</v>
      </c>
      <c r="C1438">
        <v>1.3099999999999989</v>
      </c>
    </row>
    <row r="1439" spans="1:3" x14ac:dyDescent="0.25">
      <c r="A1439">
        <v>50</v>
      </c>
      <c r="B1439">
        <v>23</v>
      </c>
      <c r="C1439">
        <v>1.3099999999999989</v>
      </c>
    </row>
    <row r="1440" spans="1:3" x14ac:dyDescent="0.25">
      <c r="A1440">
        <v>26</v>
      </c>
      <c r="B1440">
        <v>29</v>
      </c>
      <c r="C1440">
        <v>1.3</v>
      </c>
    </row>
    <row r="1441" spans="1:3" x14ac:dyDescent="0.25">
      <c r="A1441">
        <v>29</v>
      </c>
      <c r="B1441">
        <v>26</v>
      </c>
      <c r="C1441">
        <v>1.3</v>
      </c>
    </row>
    <row r="1442" spans="1:3" x14ac:dyDescent="0.25">
      <c r="A1442">
        <v>34</v>
      </c>
      <c r="B1442">
        <v>50</v>
      </c>
      <c r="C1442">
        <v>1.2999999999999998</v>
      </c>
    </row>
    <row r="1443" spans="1:3" x14ac:dyDescent="0.25">
      <c r="A1443">
        <v>50</v>
      </c>
      <c r="B1443">
        <v>34</v>
      </c>
      <c r="C1443">
        <v>1.2999999999999998</v>
      </c>
    </row>
    <row r="1444" spans="1:3" x14ac:dyDescent="0.25">
      <c r="A1444">
        <v>3</v>
      </c>
      <c r="B1444">
        <v>34</v>
      </c>
      <c r="C1444">
        <v>1.2900000000000018</v>
      </c>
    </row>
    <row r="1445" spans="1:3" x14ac:dyDescent="0.25">
      <c r="A1445">
        <v>34</v>
      </c>
      <c r="B1445">
        <v>3</v>
      </c>
      <c r="C1445">
        <v>1.2900000000000018</v>
      </c>
    </row>
    <row r="1446" spans="1:3" x14ac:dyDescent="0.25">
      <c r="A1446">
        <v>16</v>
      </c>
      <c r="B1446">
        <v>38</v>
      </c>
      <c r="C1446">
        <v>1.2900000000000005</v>
      </c>
    </row>
    <row r="1447" spans="1:3" x14ac:dyDescent="0.25">
      <c r="A1447">
        <v>38</v>
      </c>
      <c r="B1447">
        <v>16</v>
      </c>
      <c r="C1447">
        <v>1.2900000000000005</v>
      </c>
    </row>
    <row r="1448" spans="1:3" x14ac:dyDescent="0.25">
      <c r="A1448">
        <v>6</v>
      </c>
      <c r="B1448">
        <v>49</v>
      </c>
      <c r="C1448">
        <v>1.2800000000000074</v>
      </c>
    </row>
    <row r="1449" spans="1:3" x14ac:dyDescent="0.25">
      <c r="A1449">
        <v>49</v>
      </c>
      <c r="B1449">
        <v>6</v>
      </c>
      <c r="C1449">
        <v>1.2800000000000074</v>
      </c>
    </row>
    <row r="1450" spans="1:3" x14ac:dyDescent="0.25">
      <c r="A1450">
        <v>16</v>
      </c>
      <c r="B1450">
        <v>29</v>
      </c>
      <c r="C1450">
        <v>1.2700000000000014</v>
      </c>
    </row>
    <row r="1451" spans="1:3" x14ac:dyDescent="0.25">
      <c r="A1451">
        <v>29</v>
      </c>
      <c r="B1451">
        <v>16</v>
      </c>
      <c r="C1451">
        <v>1.2700000000000014</v>
      </c>
    </row>
    <row r="1452" spans="1:3" x14ac:dyDescent="0.25">
      <c r="A1452">
        <v>42</v>
      </c>
      <c r="B1452">
        <v>46</v>
      </c>
      <c r="C1452">
        <v>1.27</v>
      </c>
    </row>
    <row r="1453" spans="1:3" x14ac:dyDescent="0.25">
      <c r="A1453">
        <v>46</v>
      </c>
      <c r="B1453">
        <v>42</v>
      </c>
      <c r="C1453">
        <v>1.27</v>
      </c>
    </row>
    <row r="1454" spans="1:3" x14ac:dyDescent="0.25">
      <c r="A1454">
        <v>6</v>
      </c>
      <c r="B1454">
        <v>22</v>
      </c>
      <c r="C1454">
        <v>1.2600000000000109</v>
      </c>
    </row>
    <row r="1455" spans="1:3" x14ac:dyDescent="0.25">
      <c r="A1455">
        <v>22</v>
      </c>
      <c r="B1455">
        <v>6</v>
      </c>
      <c r="C1455">
        <v>1.2600000000000109</v>
      </c>
    </row>
    <row r="1456" spans="1:3" x14ac:dyDescent="0.25">
      <c r="A1456">
        <v>16</v>
      </c>
      <c r="B1456">
        <v>30</v>
      </c>
      <c r="C1456">
        <v>1.2600000000000002</v>
      </c>
    </row>
    <row r="1457" spans="1:3" x14ac:dyDescent="0.25">
      <c r="A1457">
        <v>30</v>
      </c>
      <c r="B1457">
        <v>16</v>
      </c>
      <c r="C1457">
        <v>1.2600000000000002</v>
      </c>
    </row>
    <row r="1458" spans="1:3" x14ac:dyDescent="0.25">
      <c r="A1458">
        <v>13</v>
      </c>
      <c r="B1458">
        <v>38</v>
      </c>
      <c r="C1458">
        <v>1.2599999999999993</v>
      </c>
    </row>
    <row r="1459" spans="1:3" x14ac:dyDescent="0.25">
      <c r="A1459">
        <v>38</v>
      </c>
      <c r="B1459">
        <v>13</v>
      </c>
      <c r="C1459">
        <v>1.2599999999999993</v>
      </c>
    </row>
    <row r="1460" spans="1:3" x14ac:dyDescent="0.25">
      <c r="A1460">
        <v>13</v>
      </c>
      <c r="B1460">
        <v>35</v>
      </c>
      <c r="C1460">
        <v>1.2599999999999989</v>
      </c>
    </row>
    <row r="1461" spans="1:3" x14ac:dyDescent="0.25">
      <c r="A1461">
        <v>35</v>
      </c>
      <c r="B1461">
        <v>13</v>
      </c>
      <c r="C1461">
        <v>1.2599999999999989</v>
      </c>
    </row>
    <row r="1462" spans="1:3" x14ac:dyDescent="0.25">
      <c r="A1462">
        <v>10</v>
      </c>
      <c r="B1462">
        <v>20</v>
      </c>
      <c r="C1462">
        <v>1.2599999999999985</v>
      </c>
    </row>
    <row r="1463" spans="1:3" x14ac:dyDescent="0.25">
      <c r="A1463">
        <v>20</v>
      </c>
      <c r="B1463">
        <v>10</v>
      </c>
      <c r="C1463">
        <v>1.2599999999999985</v>
      </c>
    </row>
    <row r="1464" spans="1:3" x14ac:dyDescent="0.25">
      <c r="A1464">
        <v>8</v>
      </c>
      <c r="B1464">
        <v>20</v>
      </c>
      <c r="C1464">
        <v>1.2500000000000075</v>
      </c>
    </row>
    <row r="1465" spans="1:3" x14ac:dyDescent="0.25">
      <c r="A1465">
        <v>20</v>
      </c>
      <c r="B1465">
        <v>8</v>
      </c>
      <c r="C1465">
        <v>1.2500000000000075</v>
      </c>
    </row>
    <row r="1466" spans="1:3" x14ac:dyDescent="0.25">
      <c r="A1466">
        <v>27</v>
      </c>
      <c r="B1466">
        <v>40</v>
      </c>
      <c r="C1466">
        <v>1.2400000000000007</v>
      </c>
    </row>
    <row r="1467" spans="1:3" x14ac:dyDescent="0.25">
      <c r="A1467">
        <v>40</v>
      </c>
      <c r="B1467">
        <v>27</v>
      </c>
      <c r="C1467">
        <v>1.2400000000000007</v>
      </c>
    </row>
    <row r="1468" spans="1:3" x14ac:dyDescent="0.25">
      <c r="A1468">
        <v>34</v>
      </c>
      <c r="B1468">
        <v>48</v>
      </c>
      <c r="C1468">
        <v>1.2399999999999993</v>
      </c>
    </row>
    <row r="1469" spans="1:3" x14ac:dyDescent="0.25">
      <c r="A1469">
        <v>48</v>
      </c>
      <c r="B1469">
        <v>34</v>
      </c>
      <c r="C1469">
        <v>1.2399999999999993</v>
      </c>
    </row>
    <row r="1470" spans="1:3" x14ac:dyDescent="0.25">
      <c r="A1470">
        <v>3</v>
      </c>
      <c r="B1470">
        <v>27</v>
      </c>
      <c r="C1470">
        <v>1.2399999999999936</v>
      </c>
    </row>
    <row r="1471" spans="1:3" x14ac:dyDescent="0.25">
      <c r="A1471">
        <v>27</v>
      </c>
      <c r="B1471">
        <v>3</v>
      </c>
      <c r="C1471">
        <v>1.2399999999999936</v>
      </c>
    </row>
    <row r="1472" spans="1:3" x14ac:dyDescent="0.25">
      <c r="A1472">
        <v>17</v>
      </c>
      <c r="B1472">
        <v>34</v>
      </c>
      <c r="C1472">
        <v>1.2300000000000004</v>
      </c>
    </row>
    <row r="1473" spans="1:3" x14ac:dyDescent="0.25">
      <c r="A1473">
        <v>34</v>
      </c>
      <c r="B1473">
        <v>17</v>
      </c>
      <c r="C1473">
        <v>1.2300000000000004</v>
      </c>
    </row>
    <row r="1474" spans="1:3" x14ac:dyDescent="0.25">
      <c r="A1474">
        <v>26</v>
      </c>
      <c r="B1474">
        <v>42</v>
      </c>
      <c r="C1474">
        <v>1.2299999999999998</v>
      </c>
    </row>
    <row r="1475" spans="1:3" x14ac:dyDescent="0.25">
      <c r="A1475">
        <v>42</v>
      </c>
      <c r="B1475">
        <v>26</v>
      </c>
      <c r="C1475">
        <v>1.2299999999999998</v>
      </c>
    </row>
    <row r="1476" spans="1:3" x14ac:dyDescent="0.25">
      <c r="A1476">
        <v>5</v>
      </c>
      <c r="B1476">
        <v>6</v>
      </c>
      <c r="C1476">
        <v>1.220000000000006</v>
      </c>
    </row>
    <row r="1477" spans="1:3" x14ac:dyDescent="0.25">
      <c r="A1477">
        <v>6</v>
      </c>
      <c r="B1477">
        <v>5</v>
      </c>
      <c r="C1477">
        <v>1.220000000000006</v>
      </c>
    </row>
    <row r="1478" spans="1:3" x14ac:dyDescent="0.25">
      <c r="A1478">
        <v>5</v>
      </c>
      <c r="B1478">
        <v>20</v>
      </c>
      <c r="C1478">
        <v>1.2199999999999993</v>
      </c>
    </row>
    <row r="1479" spans="1:3" x14ac:dyDescent="0.25">
      <c r="A1479">
        <v>20</v>
      </c>
      <c r="B1479">
        <v>5</v>
      </c>
      <c r="C1479">
        <v>1.2199999999999993</v>
      </c>
    </row>
    <row r="1480" spans="1:3" x14ac:dyDescent="0.25">
      <c r="A1480">
        <v>15</v>
      </c>
      <c r="B1480">
        <v>44</v>
      </c>
      <c r="C1480">
        <v>1.2100000000000002</v>
      </c>
    </row>
    <row r="1481" spans="1:3" x14ac:dyDescent="0.25">
      <c r="A1481">
        <v>44</v>
      </c>
      <c r="B1481">
        <v>15</v>
      </c>
      <c r="C1481">
        <v>1.2100000000000002</v>
      </c>
    </row>
    <row r="1482" spans="1:3" x14ac:dyDescent="0.25">
      <c r="A1482">
        <v>6</v>
      </c>
      <c r="B1482">
        <v>48</v>
      </c>
      <c r="C1482">
        <v>1.2000000000000082</v>
      </c>
    </row>
    <row r="1483" spans="1:3" x14ac:dyDescent="0.25">
      <c r="A1483">
        <v>48</v>
      </c>
      <c r="B1483">
        <v>6</v>
      </c>
      <c r="C1483">
        <v>1.2000000000000082</v>
      </c>
    </row>
    <row r="1484" spans="1:3" x14ac:dyDescent="0.25">
      <c r="A1484">
        <v>20</v>
      </c>
      <c r="B1484">
        <v>27</v>
      </c>
      <c r="C1484">
        <v>1.2000000000000002</v>
      </c>
    </row>
    <row r="1485" spans="1:3" x14ac:dyDescent="0.25">
      <c r="A1485">
        <v>20</v>
      </c>
      <c r="B1485">
        <v>45</v>
      </c>
      <c r="C1485">
        <v>1.2000000000000002</v>
      </c>
    </row>
    <row r="1486" spans="1:3" x14ac:dyDescent="0.25">
      <c r="A1486">
        <v>27</v>
      </c>
      <c r="B1486">
        <v>20</v>
      </c>
      <c r="C1486">
        <v>1.2000000000000002</v>
      </c>
    </row>
    <row r="1487" spans="1:3" x14ac:dyDescent="0.25">
      <c r="A1487">
        <v>31</v>
      </c>
      <c r="B1487">
        <v>49</v>
      </c>
      <c r="C1487">
        <v>1.2000000000000002</v>
      </c>
    </row>
    <row r="1488" spans="1:3" x14ac:dyDescent="0.25">
      <c r="A1488">
        <v>45</v>
      </c>
      <c r="B1488">
        <v>20</v>
      </c>
      <c r="C1488">
        <v>1.2000000000000002</v>
      </c>
    </row>
    <row r="1489" spans="1:3" x14ac:dyDescent="0.25">
      <c r="A1489">
        <v>49</v>
      </c>
      <c r="B1489">
        <v>31</v>
      </c>
      <c r="C1489">
        <v>1.2000000000000002</v>
      </c>
    </row>
    <row r="1490" spans="1:3" x14ac:dyDescent="0.25">
      <c r="A1490">
        <v>12</v>
      </c>
      <c r="B1490">
        <v>16</v>
      </c>
      <c r="C1490">
        <v>1.1999999999999993</v>
      </c>
    </row>
    <row r="1491" spans="1:3" x14ac:dyDescent="0.25">
      <c r="A1491">
        <v>16</v>
      </c>
      <c r="B1491">
        <v>12</v>
      </c>
      <c r="C1491">
        <v>1.1999999999999993</v>
      </c>
    </row>
    <row r="1492" spans="1:3" x14ac:dyDescent="0.25">
      <c r="A1492">
        <v>14</v>
      </c>
      <c r="B1492">
        <v>34</v>
      </c>
      <c r="C1492">
        <v>1.1999999999999984</v>
      </c>
    </row>
    <row r="1493" spans="1:3" x14ac:dyDescent="0.25">
      <c r="A1493">
        <v>34</v>
      </c>
      <c r="B1493">
        <v>14</v>
      </c>
      <c r="C1493">
        <v>1.1999999999999984</v>
      </c>
    </row>
    <row r="1494" spans="1:3" x14ac:dyDescent="0.25">
      <c r="A1494">
        <v>33</v>
      </c>
      <c r="B1494">
        <v>45</v>
      </c>
      <c r="C1494">
        <v>1.1900000000000008</v>
      </c>
    </row>
    <row r="1495" spans="1:3" x14ac:dyDescent="0.25">
      <c r="A1495">
        <v>45</v>
      </c>
      <c r="B1495">
        <v>33</v>
      </c>
      <c r="C1495">
        <v>1.1900000000000008</v>
      </c>
    </row>
    <row r="1496" spans="1:3" x14ac:dyDescent="0.25">
      <c r="A1496">
        <v>18</v>
      </c>
      <c r="B1496">
        <v>39</v>
      </c>
      <c r="C1496">
        <v>1.1900000000000004</v>
      </c>
    </row>
    <row r="1497" spans="1:3" x14ac:dyDescent="0.25">
      <c r="A1497">
        <v>39</v>
      </c>
      <c r="B1497">
        <v>18</v>
      </c>
      <c r="C1497">
        <v>1.1900000000000004</v>
      </c>
    </row>
    <row r="1498" spans="1:3" x14ac:dyDescent="0.25">
      <c r="A1498">
        <v>23</v>
      </c>
      <c r="B1498">
        <v>48</v>
      </c>
      <c r="C1498">
        <v>1.1899999999999997</v>
      </c>
    </row>
    <row r="1499" spans="1:3" x14ac:dyDescent="0.25">
      <c r="A1499">
        <v>27</v>
      </c>
      <c r="B1499">
        <v>44</v>
      </c>
      <c r="C1499">
        <v>1.1899999999999997</v>
      </c>
    </row>
    <row r="1500" spans="1:3" x14ac:dyDescent="0.25">
      <c r="A1500">
        <v>44</v>
      </c>
      <c r="B1500">
        <v>27</v>
      </c>
      <c r="C1500">
        <v>1.1899999999999997</v>
      </c>
    </row>
    <row r="1501" spans="1:3" x14ac:dyDescent="0.25">
      <c r="A1501">
        <v>48</v>
      </c>
      <c r="B1501">
        <v>23</v>
      </c>
      <c r="C1501">
        <v>1.1899999999999997</v>
      </c>
    </row>
    <row r="1502" spans="1:3" x14ac:dyDescent="0.25">
      <c r="A1502">
        <v>30</v>
      </c>
      <c r="B1502">
        <v>40</v>
      </c>
      <c r="C1502">
        <v>1.180000000000001</v>
      </c>
    </row>
    <row r="1503" spans="1:3" x14ac:dyDescent="0.25">
      <c r="A1503">
        <v>40</v>
      </c>
      <c r="B1503">
        <v>30</v>
      </c>
      <c r="C1503">
        <v>1.180000000000001</v>
      </c>
    </row>
    <row r="1504" spans="1:3" x14ac:dyDescent="0.25">
      <c r="A1504">
        <v>36</v>
      </c>
      <c r="B1504">
        <v>37</v>
      </c>
      <c r="C1504">
        <v>1.1700000000000004</v>
      </c>
    </row>
    <row r="1505" spans="1:3" x14ac:dyDescent="0.25">
      <c r="A1505">
        <v>37</v>
      </c>
      <c r="B1505">
        <v>36</v>
      </c>
      <c r="C1505">
        <v>1.1700000000000004</v>
      </c>
    </row>
    <row r="1506" spans="1:3" x14ac:dyDescent="0.25">
      <c r="A1506">
        <v>9</v>
      </c>
      <c r="B1506">
        <v>35</v>
      </c>
      <c r="C1506">
        <v>1.17</v>
      </c>
    </row>
    <row r="1507" spans="1:3" x14ac:dyDescent="0.25">
      <c r="A1507">
        <v>9</v>
      </c>
      <c r="B1507">
        <v>39</v>
      </c>
      <c r="C1507">
        <v>1.17</v>
      </c>
    </row>
    <row r="1508" spans="1:3" x14ac:dyDescent="0.25">
      <c r="A1508">
        <v>35</v>
      </c>
      <c r="B1508">
        <v>9</v>
      </c>
      <c r="C1508">
        <v>1.17</v>
      </c>
    </row>
    <row r="1509" spans="1:3" x14ac:dyDescent="0.25">
      <c r="A1509">
        <v>39</v>
      </c>
      <c r="B1509">
        <v>9</v>
      </c>
      <c r="C1509">
        <v>1.17</v>
      </c>
    </row>
    <row r="1510" spans="1:3" x14ac:dyDescent="0.25">
      <c r="A1510">
        <v>8</v>
      </c>
      <c r="B1510">
        <v>9</v>
      </c>
      <c r="C1510">
        <v>1.1699999999999973</v>
      </c>
    </row>
    <row r="1511" spans="1:3" x14ac:dyDescent="0.25">
      <c r="A1511">
        <v>9</v>
      </c>
      <c r="B1511">
        <v>8</v>
      </c>
      <c r="C1511">
        <v>1.1699999999999973</v>
      </c>
    </row>
    <row r="1512" spans="1:3" x14ac:dyDescent="0.25">
      <c r="A1512">
        <v>9</v>
      </c>
      <c r="B1512">
        <v>10</v>
      </c>
      <c r="C1512">
        <v>1.1699999999999973</v>
      </c>
    </row>
    <row r="1513" spans="1:3" x14ac:dyDescent="0.25">
      <c r="A1513">
        <v>10</v>
      </c>
      <c r="B1513">
        <v>9</v>
      </c>
      <c r="C1513">
        <v>1.1699999999999973</v>
      </c>
    </row>
    <row r="1514" spans="1:3" x14ac:dyDescent="0.25">
      <c r="A1514">
        <v>4</v>
      </c>
      <c r="B1514">
        <v>46</v>
      </c>
      <c r="C1514">
        <v>1.160000000000001</v>
      </c>
    </row>
    <row r="1515" spans="1:3" x14ac:dyDescent="0.25">
      <c r="A1515">
        <v>46</v>
      </c>
      <c r="B1515">
        <v>4</v>
      </c>
      <c r="C1515">
        <v>1.160000000000001</v>
      </c>
    </row>
    <row r="1516" spans="1:3" x14ac:dyDescent="0.25">
      <c r="A1516">
        <v>20</v>
      </c>
      <c r="B1516">
        <v>32</v>
      </c>
      <c r="C1516">
        <v>1.1600000000000001</v>
      </c>
    </row>
    <row r="1517" spans="1:3" x14ac:dyDescent="0.25">
      <c r="A1517">
        <v>32</v>
      </c>
      <c r="B1517">
        <v>20</v>
      </c>
      <c r="C1517">
        <v>1.1600000000000001</v>
      </c>
    </row>
    <row r="1518" spans="1:3" x14ac:dyDescent="0.25">
      <c r="A1518">
        <v>8</v>
      </c>
      <c r="B1518">
        <v>39</v>
      </c>
      <c r="C1518">
        <v>1.1599999999999948</v>
      </c>
    </row>
    <row r="1519" spans="1:3" x14ac:dyDescent="0.25">
      <c r="A1519">
        <v>39</v>
      </c>
      <c r="B1519">
        <v>8</v>
      </c>
      <c r="C1519">
        <v>1.1599999999999948</v>
      </c>
    </row>
    <row r="1520" spans="1:3" x14ac:dyDescent="0.25">
      <c r="A1520">
        <v>19</v>
      </c>
      <c r="B1520">
        <v>27</v>
      </c>
      <c r="C1520">
        <v>1.1499999999999999</v>
      </c>
    </row>
    <row r="1521" spans="1:3" x14ac:dyDescent="0.25">
      <c r="A1521">
        <v>27</v>
      </c>
      <c r="B1521">
        <v>19</v>
      </c>
      <c r="C1521">
        <v>1.1499999999999999</v>
      </c>
    </row>
    <row r="1522" spans="1:3" x14ac:dyDescent="0.25">
      <c r="A1522">
        <v>33</v>
      </c>
      <c r="B1522">
        <v>34</v>
      </c>
      <c r="C1522">
        <v>1.1400000000000006</v>
      </c>
    </row>
    <row r="1523" spans="1:3" x14ac:dyDescent="0.25">
      <c r="A1523">
        <v>34</v>
      </c>
      <c r="B1523">
        <v>33</v>
      </c>
      <c r="C1523">
        <v>1.1400000000000006</v>
      </c>
    </row>
    <row r="1524" spans="1:3" x14ac:dyDescent="0.25">
      <c r="A1524">
        <v>31</v>
      </c>
      <c r="B1524">
        <v>44</v>
      </c>
      <c r="C1524">
        <v>1.1399999999999999</v>
      </c>
    </row>
    <row r="1525" spans="1:3" x14ac:dyDescent="0.25">
      <c r="A1525">
        <v>44</v>
      </c>
      <c r="B1525">
        <v>31</v>
      </c>
      <c r="C1525">
        <v>1.1399999999999999</v>
      </c>
    </row>
    <row r="1526" spans="1:3" x14ac:dyDescent="0.25">
      <c r="A1526">
        <v>10</v>
      </c>
      <c r="B1526">
        <v>39</v>
      </c>
      <c r="C1526">
        <v>1.1300000000000079</v>
      </c>
    </row>
    <row r="1527" spans="1:3" x14ac:dyDescent="0.25">
      <c r="A1527">
        <v>39</v>
      </c>
      <c r="B1527">
        <v>10</v>
      </c>
      <c r="C1527">
        <v>1.1300000000000079</v>
      </c>
    </row>
    <row r="1528" spans="1:3" x14ac:dyDescent="0.25">
      <c r="A1528">
        <v>16</v>
      </c>
      <c r="B1528">
        <v>41</v>
      </c>
      <c r="C1528">
        <v>1.1300000000000003</v>
      </c>
    </row>
    <row r="1529" spans="1:3" x14ac:dyDescent="0.25">
      <c r="A1529">
        <v>41</v>
      </c>
      <c r="B1529">
        <v>16</v>
      </c>
      <c r="C1529">
        <v>1.1300000000000003</v>
      </c>
    </row>
    <row r="1530" spans="1:3" x14ac:dyDescent="0.25">
      <c r="A1530">
        <v>9</v>
      </c>
      <c r="B1530">
        <v>27</v>
      </c>
      <c r="C1530">
        <v>1.1200000000000001</v>
      </c>
    </row>
    <row r="1531" spans="1:3" x14ac:dyDescent="0.25">
      <c r="A1531">
        <v>27</v>
      </c>
      <c r="B1531">
        <v>9</v>
      </c>
      <c r="C1531">
        <v>1.1200000000000001</v>
      </c>
    </row>
    <row r="1532" spans="1:3" x14ac:dyDescent="0.25">
      <c r="A1532">
        <v>9</v>
      </c>
      <c r="B1532">
        <v>30</v>
      </c>
      <c r="C1532">
        <v>1.1100000000000003</v>
      </c>
    </row>
    <row r="1533" spans="1:3" x14ac:dyDescent="0.25">
      <c r="A1533">
        <v>30</v>
      </c>
      <c r="B1533">
        <v>9</v>
      </c>
      <c r="C1533">
        <v>1.1100000000000003</v>
      </c>
    </row>
    <row r="1534" spans="1:3" x14ac:dyDescent="0.25">
      <c r="A1534">
        <v>11</v>
      </c>
      <c r="B1534">
        <v>20</v>
      </c>
      <c r="C1534">
        <v>1.1099999999999928</v>
      </c>
    </row>
    <row r="1535" spans="1:3" x14ac:dyDescent="0.25">
      <c r="A1535">
        <v>20</v>
      </c>
      <c r="B1535">
        <v>11</v>
      </c>
      <c r="C1535">
        <v>1.1099999999999928</v>
      </c>
    </row>
    <row r="1536" spans="1:3" x14ac:dyDescent="0.25">
      <c r="A1536">
        <v>27</v>
      </c>
      <c r="B1536">
        <v>50</v>
      </c>
      <c r="C1536">
        <v>1.1000000000000001</v>
      </c>
    </row>
    <row r="1537" spans="1:3" x14ac:dyDescent="0.25">
      <c r="A1537">
        <v>50</v>
      </c>
      <c r="B1537">
        <v>27</v>
      </c>
      <c r="C1537">
        <v>1.1000000000000001</v>
      </c>
    </row>
    <row r="1538" spans="1:3" x14ac:dyDescent="0.25">
      <c r="A1538">
        <v>11</v>
      </c>
      <c r="B1538">
        <v>41</v>
      </c>
      <c r="C1538">
        <v>1.0999999999999921</v>
      </c>
    </row>
    <row r="1539" spans="1:3" x14ac:dyDescent="0.25">
      <c r="A1539">
        <v>41</v>
      </c>
      <c r="B1539">
        <v>11</v>
      </c>
      <c r="C1539">
        <v>1.0999999999999921</v>
      </c>
    </row>
    <row r="1540" spans="1:3" x14ac:dyDescent="0.25">
      <c r="A1540">
        <v>5</v>
      </c>
      <c r="B1540">
        <v>22</v>
      </c>
      <c r="C1540">
        <v>1.0800000000000041</v>
      </c>
    </row>
    <row r="1541" spans="1:3" x14ac:dyDescent="0.25">
      <c r="A1541">
        <v>22</v>
      </c>
      <c r="B1541">
        <v>5</v>
      </c>
      <c r="C1541">
        <v>1.0800000000000041</v>
      </c>
    </row>
    <row r="1542" spans="1:3" x14ac:dyDescent="0.25">
      <c r="A1542">
        <v>9</v>
      </c>
      <c r="B1542">
        <v>23</v>
      </c>
      <c r="C1542">
        <v>1.08</v>
      </c>
    </row>
    <row r="1543" spans="1:3" x14ac:dyDescent="0.25">
      <c r="A1543">
        <v>23</v>
      </c>
      <c r="B1543">
        <v>9</v>
      </c>
      <c r="C1543">
        <v>1.08</v>
      </c>
    </row>
    <row r="1544" spans="1:3" x14ac:dyDescent="0.25">
      <c r="A1544">
        <v>5</v>
      </c>
      <c r="B1544">
        <v>42</v>
      </c>
      <c r="C1544">
        <v>1.0799999999999983</v>
      </c>
    </row>
    <row r="1545" spans="1:3" x14ac:dyDescent="0.25">
      <c r="A1545">
        <v>42</v>
      </c>
      <c r="B1545">
        <v>5</v>
      </c>
      <c r="C1545">
        <v>1.0799999999999983</v>
      </c>
    </row>
    <row r="1546" spans="1:3" x14ac:dyDescent="0.25">
      <c r="A1546">
        <v>12</v>
      </c>
      <c r="B1546">
        <v>34</v>
      </c>
      <c r="C1546">
        <v>1.0700000000000029</v>
      </c>
    </row>
    <row r="1547" spans="1:3" x14ac:dyDescent="0.25">
      <c r="A1547">
        <v>34</v>
      </c>
      <c r="B1547">
        <v>12</v>
      </c>
      <c r="C1547">
        <v>1.0700000000000029</v>
      </c>
    </row>
    <row r="1548" spans="1:3" x14ac:dyDescent="0.25">
      <c r="A1548">
        <v>16</v>
      </c>
      <c r="B1548">
        <v>43</v>
      </c>
      <c r="C1548">
        <v>1.0700000000000003</v>
      </c>
    </row>
    <row r="1549" spans="1:3" x14ac:dyDescent="0.25">
      <c r="A1549">
        <v>31</v>
      </c>
      <c r="B1549">
        <v>37</v>
      </c>
      <c r="C1549">
        <v>1.0700000000000003</v>
      </c>
    </row>
    <row r="1550" spans="1:3" x14ac:dyDescent="0.25">
      <c r="A1550">
        <v>37</v>
      </c>
      <c r="B1550">
        <v>31</v>
      </c>
      <c r="C1550">
        <v>1.0700000000000003</v>
      </c>
    </row>
    <row r="1551" spans="1:3" x14ac:dyDescent="0.25">
      <c r="A1551">
        <v>43</v>
      </c>
      <c r="B1551">
        <v>16</v>
      </c>
      <c r="C1551">
        <v>1.0700000000000003</v>
      </c>
    </row>
    <row r="1552" spans="1:3" x14ac:dyDescent="0.25">
      <c r="A1552">
        <v>9</v>
      </c>
      <c r="B1552">
        <v>38</v>
      </c>
      <c r="C1552">
        <v>1.0699999999999998</v>
      </c>
    </row>
    <row r="1553" spans="1:3" x14ac:dyDescent="0.25">
      <c r="A1553">
        <v>38</v>
      </c>
      <c r="B1553">
        <v>9</v>
      </c>
      <c r="C1553">
        <v>1.0699999999999998</v>
      </c>
    </row>
    <row r="1554" spans="1:3" x14ac:dyDescent="0.25">
      <c r="A1554">
        <v>13</v>
      </c>
      <c r="B1554">
        <v>39</v>
      </c>
      <c r="C1554">
        <v>1.0699999999999994</v>
      </c>
    </row>
    <row r="1555" spans="1:3" x14ac:dyDescent="0.25">
      <c r="A1555">
        <v>39</v>
      </c>
      <c r="B1555">
        <v>13</v>
      </c>
      <c r="C1555">
        <v>1.0699999999999994</v>
      </c>
    </row>
    <row r="1556" spans="1:3" x14ac:dyDescent="0.25">
      <c r="A1556">
        <v>21</v>
      </c>
      <c r="B1556">
        <v>21</v>
      </c>
      <c r="C1556">
        <v>1.06</v>
      </c>
    </row>
    <row r="1557" spans="1:3" x14ac:dyDescent="0.25">
      <c r="A1557">
        <v>25</v>
      </c>
      <c r="B1557">
        <v>34</v>
      </c>
      <c r="C1557">
        <v>1.06</v>
      </c>
    </row>
    <row r="1558" spans="1:3" x14ac:dyDescent="0.25">
      <c r="A1558">
        <v>34</v>
      </c>
      <c r="B1558">
        <v>25</v>
      </c>
      <c r="C1558">
        <v>1.06</v>
      </c>
    </row>
    <row r="1559" spans="1:3" x14ac:dyDescent="0.25">
      <c r="A1559">
        <v>16</v>
      </c>
      <c r="B1559">
        <v>21</v>
      </c>
      <c r="C1559">
        <v>1.0500000000000005</v>
      </c>
    </row>
    <row r="1560" spans="1:3" x14ac:dyDescent="0.25">
      <c r="A1560">
        <v>21</v>
      </c>
      <c r="B1560">
        <v>16</v>
      </c>
      <c r="C1560">
        <v>1.0500000000000005</v>
      </c>
    </row>
    <row r="1561" spans="1:3" x14ac:dyDescent="0.25">
      <c r="A1561">
        <v>19</v>
      </c>
      <c r="B1561">
        <v>48</v>
      </c>
      <c r="C1561">
        <v>1.0499999999999998</v>
      </c>
    </row>
    <row r="1562" spans="1:3" x14ac:dyDescent="0.25">
      <c r="A1562">
        <v>48</v>
      </c>
      <c r="B1562">
        <v>19</v>
      </c>
      <c r="C1562">
        <v>1.0499999999999998</v>
      </c>
    </row>
    <row r="1563" spans="1:3" x14ac:dyDescent="0.25">
      <c r="A1563">
        <v>12</v>
      </c>
      <c r="B1563">
        <v>23</v>
      </c>
      <c r="C1563">
        <v>1.0400000000000029</v>
      </c>
    </row>
    <row r="1564" spans="1:3" x14ac:dyDescent="0.25">
      <c r="A1564">
        <v>23</v>
      </c>
      <c r="B1564">
        <v>12</v>
      </c>
      <c r="C1564">
        <v>1.0400000000000029</v>
      </c>
    </row>
    <row r="1565" spans="1:3" x14ac:dyDescent="0.25">
      <c r="A1565">
        <v>16</v>
      </c>
      <c r="B1565">
        <v>23</v>
      </c>
      <c r="C1565">
        <v>1.0400000000000003</v>
      </c>
    </row>
    <row r="1566" spans="1:3" x14ac:dyDescent="0.25">
      <c r="A1566">
        <v>23</v>
      </c>
      <c r="B1566">
        <v>16</v>
      </c>
      <c r="C1566">
        <v>1.0400000000000003</v>
      </c>
    </row>
    <row r="1567" spans="1:3" x14ac:dyDescent="0.25">
      <c r="A1567">
        <v>26</v>
      </c>
      <c r="B1567">
        <v>43</v>
      </c>
      <c r="C1567">
        <v>1.0400000000000003</v>
      </c>
    </row>
    <row r="1568" spans="1:3" x14ac:dyDescent="0.25">
      <c r="A1568">
        <v>43</v>
      </c>
      <c r="B1568">
        <v>26</v>
      </c>
      <c r="C1568">
        <v>1.0400000000000003</v>
      </c>
    </row>
    <row r="1569" spans="1:3" x14ac:dyDescent="0.25">
      <c r="A1569">
        <v>14</v>
      </c>
      <c r="B1569">
        <v>21</v>
      </c>
      <c r="C1569">
        <v>1.039999999999998</v>
      </c>
    </row>
    <row r="1570" spans="1:3" x14ac:dyDescent="0.25">
      <c r="A1570">
        <v>21</v>
      </c>
      <c r="B1570">
        <v>14</v>
      </c>
      <c r="C1570">
        <v>1.039999999999998</v>
      </c>
    </row>
    <row r="1571" spans="1:3" x14ac:dyDescent="0.25">
      <c r="A1571">
        <v>21</v>
      </c>
      <c r="B1571">
        <v>33</v>
      </c>
      <c r="C1571">
        <v>1.03</v>
      </c>
    </row>
    <row r="1572" spans="1:3" x14ac:dyDescent="0.25">
      <c r="A1572">
        <v>33</v>
      </c>
      <c r="B1572">
        <v>21</v>
      </c>
      <c r="C1572">
        <v>1.03</v>
      </c>
    </row>
    <row r="1573" spans="1:3" x14ac:dyDescent="0.25">
      <c r="A1573">
        <v>2</v>
      </c>
      <c r="B1573">
        <v>27</v>
      </c>
      <c r="C1573">
        <v>1.0299999999999998</v>
      </c>
    </row>
    <row r="1574" spans="1:3" x14ac:dyDescent="0.25">
      <c r="A1574">
        <v>9</v>
      </c>
      <c r="B1574">
        <v>32</v>
      </c>
      <c r="C1574">
        <v>1.0299999999999998</v>
      </c>
    </row>
    <row r="1575" spans="1:3" x14ac:dyDescent="0.25">
      <c r="A1575">
        <v>27</v>
      </c>
      <c r="B1575">
        <v>2</v>
      </c>
      <c r="C1575">
        <v>1.0299999999999998</v>
      </c>
    </row>
    <row r="1576" spans="1:3" x14ac:dyDescent="0.25">
      <c r="A1576">
        <v>32</v>
      </c>
      <c r="B1576">
        <v>9</v>
      </c>
      <c r="C1576">
        <v>1.0299999999999998</v>
      </c>
    </row>
    <row r="1577" spans="1:3" x14ac:dyDescent="0.25">
      <c r="A1577">
        <v>24</v>
      </c>
      <c r="B1577">
        <v>40</v>
      </c>
      <c r="C1577">
        <v>1.0200000000000005</v>
      </c>
    </row>
    <row r="1578" spans="1:3" x14ac:dyDescent="0.25">
      <c r="A1578">
        <v>40</v>
      </c>
      <c r="B1578">
        <v>24</v>
      </c>
      <c r="C1578">
        <v>1.0200000000000005</v>
      </c>
    </row>
    <row r="1579" spans="1:3" x14ac:dyDescent="0.25">
      <c r="A1579">
        <v>8</v>
      </c>
      <c r="B1579">
        <v>29</v>
      </c>
      <c r="C1579">
        <v>1.0199999999999942</v>
      </c>
    </row>
    <row r="1580" spans="1:3" x14ac:dyDescent="0.25">
      <c r="A1580">
        <v>29</v>
      </c>
      <c r="B1580">
        <v>8</v>
      </c>
      <c r="C1580">
        <v>1.0199999999999942</v>
      </c>
    </row>
    <row r="1581" spans="1:3" x14ac:dyDescent="0.25">
      <c r="A1581">
        <v>16</v>
      </c>
      <c r="B1581">
        <v>20</v>
      </c>
      <c r="C1581">
        <v>1.0100000000000002</v>
      </c>
    </row>
    <row r="1582" spans="1:3" x14ac:dyDescent="0.25">
      <c r="A1582">
        <v>20</v>
      </c>
      <c r="B1582">
        <v>16</v>
      </c>
      <c r="C1582">
        <v>1.0100000000000002</v>
      </c>
    </row>
    <row r="1583" spans="1:3" x14ac:dyDescent="0.25">
      <c r="A1583">
        <v>34</v>
      </c>
      <c r="B1583">
        <v>40</v>
      </c>
      <c r="C1583">
        <v>0.99000000000000021</v>
      </c>
    </row>
    <row r="1584" spans="1:3" x14ac:dyDescent="0.25">
      <c r="A1584">
        <v>40</v>
      </c>
      <c r="B1584">
        <v>34</v>
      </c>
      <c r="C1584">
        <v>0.99000000000000021</v>
      </c>
    </row>
    <row r="1585" spans="1:3" x14ac:dyDescent="0.25">
      <c r="A1585">
        <v>9</v>
      </c>
      <c r="B1585">
        <v>41</v>
      </c>
      <c r="C1585">
        <v>0.9900000000000001</v>
      </c>
    </row>
    <row r="1586" spans="1:3" x14ac:dyDescent="0.25">
      <c r="A1586">
        <v>41</v>
      </c>
      <c r="B1586">
        <v>9</v>
      </c>
      <c r="C1586">
        <v>0.9900000000000001</v>
      </c>
    </row>
    <row r="1587" spans="1:3" x14ac:dyDescent="0.25">
      <c r="A1587">
        <v>18</v>
      </c>
      <c r="B1587">
        <v>30</v>
      </c>
      <c r="C1587">
        <v>0.98</v>
      </c>
    </row>
    <row r="1588" spans="1:3" x14ac:dyDescent="0.25">
      <c r="A1588">
        <v>30</v>
      </c>
      <c r="B1588">
        <v>18</v>
      </c>
      <c r="C1588">
        <v>0.98</v>
      </c>
    </row>
    <row r="1589" spans="1:3" x14ac:dyDescent="0.25">
      <c r="A1589">
        <v>21</v>
      </c>
      <c r="B1589">
        <v>27</v>
      </c>
      <c r="C1589">
        <v>0.97999999999999976</v>
      </c>
    </row>
    <row r="1590" spans="1:3" x14ac:dyDescent="0.25">
      <c r="A1590">
        <v>27</v>
      </c>
      <c r="B1590">
        <v>21</v>
      </c>
      <c r="C1590">
        <v>0.97999999999999976</v>
      </c>
    </row>
    <row r="1591" spans="1:3" x14ac:dyDescent="0.25">
      <c r="A1591">
        <v>21</v>
      </c>
      <c r="B1591">
        <v>32</v>
      </c>
      <c r="C1591">
        <v>0.97</v>
      </c>
    </row>
    <row r="1592" spans="1:3" x14ac:dyDescent="0.25">
      <c r="A1592">
        <v>32</v>
      </c>
      <c r="B1592">
        <v>21</v>
      </c>
      <c r="C1592">
        <v>0.97</v>
      </c>
    </row>
    <row r="1593" spans="1:3" x14ac:dyDescent="0.25">
      <c r="A1593">
        <v>21</v>
      </c>
      <c r="B1593">
        <v>25</v>
      </c>
      <c r="C1593">
        <v>0.96999999999999975</v>
      </c>
    </row>
    <row r="1594" spans="1:3" x14ac:dyDescent="0.25">
      <c r="A1594">
        <v>25</v>
      </c>
      <c r="B1594">
        <v>21</v>
      </c>
      <c r="C1594">
        <v>0.96999999999999975</v>
      </c>
    </row>
    <row r="1595" spans="1:3" x14ac:dyDescent="0.25">
      <c r="A1595">
        <v>8</v>
      </c>
      <c r="B1595">
        <v>21</v>
      </c>
      <c r="C1595">
        <v>0.96999999999999775</v>
      </c>
    </row>
    <row r="1596" spans="1:3" x14ac:dyDescent="0.25">
      <c r="A1596">
        <v>10</v>
      </c>
      <c r="B1596">
        <v>21</v>
      </c>
      <c r="C1596">
        <v>0.96999999999999775</v>
      </c>
    </row>
    <row r="1597" spans="1:3" x14ac:dyDescent="0.25">
      <c r="A1597">
        <v>21</v>
      </c>
      <c r="B1597">
        <v>8</v>
      </c>
      <c r="C1597">
        <v>0.96999999999999775</v>
      </c>
    </row>
    <row r="1598" spans="1:3" x14ac:dyDescent="0.25">
      <c r="A1598">
        <v>21</v>
      </c>
      <c r="B1598">
        <v>10</v>
      </c>
      <c r="C1598">
        <v>0.96999999999999775</v>
      </c>
    </row>
    <row r="1599" spans="1:3" x14ac:dyDescent="0.25">
      <c r="A1599">
        <v>12</v>
      </c>
      <c r="B1599">
        <v>19</v>
      </c>
      <c r="C1599">
        <v>0.96999999999999353</v>
      </c>
    </row>
    <row r="1600" spans="1:3" x14ac:dyDescent="0.25">
      <c r="A1600">
        <v>19</v>
      </c>
      <c r="B1600">
        <v>12</v>
      </c>
      <c r="C1600">
        <v>0.96999999999999353</v>
      </c>
    </row>
    <row r="1601" spans="1:3" x14ac:dyDescent="0.25">
      <c r="A1601">
        <v>17</v>
      </c>
      <c r="B1601">
        <v>21</v>
      </c>
      <c r="C1601">
        <v>0.96000000000000019</v>
      </c>
    </row>
    <row r="1602" spans="1:3" x14ac:dyDescent="0.25">
      <c r="A1602">
        <v>21</v>
      </c>
      <c r="B1602">
        <v>17</v>
      </c>
      <c r="C1602">
        <v>0.96000000000000019</v>
      </c>
    </row>
    <row r="1603" spans="1:3" x14ac:dyDescent="0.25">
      <c r="A1603">
        <v>6</v>
      </c>
      <c r="B1603">
        <v>40</v>
      </c>
      <c r="C1603">
        <v>0.95000000000000639</v>
      </c>
    </row>
    <row r="1604" spans="1:3" x14ac:dyDescent="0.25">
      <c r="A1604">
        <v>40</v>
      </c>
      <c r="B1604">
        <v>6</v>
      </c>
      <c r="C1604">
        <v>0.95000000000000639</v>
      </c>
    </row>
    <row r="1605" spans="1:3" x14ac:dyDescent="0.25">
      <c r="A1605">
        <v>32</v>
      </c>
      <c r="B1605">
        <v>44</v>
      </c>
      <c r="C1605">
        <v>0.95</v>
      </c>
    </row>
    <row r="1606" spans="1:3" x14ac:dyDescent="0.25">
      <c r="A1606">
        <v>44</v>
      </c>
      <c r="B1606">
        <v>32</v>
      </c>
      <c r="C1606">
        <v>0.95</v>
      </c>
    </row>
    <row r="1607" spans="1:3" x14ac:dyDescent="0.25">
      <c r="A1607">
        <v>12</v>
      </c>
      <c r="B1607">
        <v>32</v>
      </c>
      <c r="C1607">
        <v>0.94000000000000172</v>
      </c>
    </row>
    <row r="1608" spans="1:3" x14ac:dyDescent="0.25">
      <c r="A1608">
        <v>32</v>
      </c>
      <c r="B1608">
        <v>12</v>
      </c>
      <c r="C1608">
        <v>0.94000000000000172</v>
      </c>
    </row>
    <row r="1609" spans="1:3" x14ac:dyDescent="0.25">
      <c r="A1609">
        <v>22</v>
      </c>
      <c r="B1609">
        <v>44</v>
      </c>
      <c r="C1609">
        <v>0.94000000000000017</v>
      </c>
    </row>
    <row r="1610" spans="1:3" x14ac:dyDescent="0.25">
      <c r="A1610">
        <v>44</v>
      </c>
      <c r="B1610">
        <v>22</v>
      </c>
      <c r="C1610">
        <v>0.94000000000000017</v>
      </c>
    </row>
    <row r="1611" spans="1:3" x14ac:dyDescent="0.25">
      <c r="A1611">
        <v>13</v>
      </c>
      <c r="B1611">
        <v>32</v>
      </c>
      <c r="C1611">
        <v>0.94</v>
      </c>
    </row>
    <row r="1612" spans="1:3" x14ac:dyDescent="0.25">
      <c r="A1612">
        <v>32</v>
      </c>
      <c r="B1612">
        <v>13</v>
      </c>
      <c r="C1612">
        <v>0.94</v>
      </c>
    </row>
    <row r="1613" spans="1:3" x14ac:dyDescent="0.25">
      <c r="A1613">
        <v>10</v>
      </c>
      <c r="B1613">
        <v>29</v>
      </c>
      <c r="C1613">
        <v>0.93999999999999595</v>
      </c>
    </row>
    <row r="1614" spans="1:3" x14ac:dyDescent="0.25">
      <c r="A1614">
        <v>29</v>
      </c>
      <c r="B1614">
        <v>10</v>
      </c>
      <c r="C1614">
        <v>0.93999999999999595</v>
      </c>
    </row>
    <row r="1615" spans="1:3" x14ac:dyDescent="0.25">
      <c r="A1615">
        <v>13</v>
      </c>
      <c r="B1615">
        <v>16</v>
      </c>
      <c r="C1615">
        <v>0.92999999999999972</v>
      </c>
    </row>
    <row r="1616" spans="1:3" x14ac:dyDescent="0.25">
      <c r="A1616">
        <v>16</v>
      </c>
      <c r="B1616">
        <v>13</v>
      </c>
      <c r="C1616">
        <v>0.92999999999999972</v>
      </c>
    </row>
    <row r="1617" spans="1:3" x14ac:dyDescent="0.25">
      <c r="A1617">
        <v>37</v>
      </c>
      <c r="B1617">
        <v>46</v>
      </c>
      <c r="C1617">
        <v>0.91999999999999993</v>
      </c>
    </row>
    <row r="1618" spans="1:3" x14ac:dyDescent="0.25">
      <c r="A1618">
        <v>46</v>
      </c>
      <c r="B1618">
        <v>37</v>
      </c>
      <c r="C1618">
        <v>0.91999999999999993</v>
      </c>
    </row>
    <row r="1619" spans="1:3" x14ac:dyDescent="0.25">
      <c r="A1619">
        <v>23</v>
      </c>
      <c r="B1619">
        <v>40</v>
      </c>
      <c r="C1619">
        <v>0.91000000000000036</v>
      </c>
    </row>
    <row r="1620" spans="1:3" x14ac:dyDescent="0.25">
      <c r="A1620">
        <v>40</v>
      </c>
      <c r="B1620">
        <v>23</v>
      </c>
      <c r="C1620">
        <v>0.91000000000000036</v>
      </c>
    </row>
    <row r="1621" spans="1:3" x14ac:dyDescent="0.25">
      <c r="A1621">
        <v>18</v>
      </c>
      <c r="B1621">
        <v>34</v>
      </c>
      <c r="C1621">
        <v>0.91000000000000014</v>
      </c>
    </row>
    <row r="1622" spans="1:3" x14ac:dyDescent="0.25">
      <c r="A1622">
        <v>34</v>
      </c>
      <c r="B1622">
        <v>18</v>
      </c>
      <c r="C1622">
        <v>0.91000000000000014</v>
      </c>
    </row>
    <row r="1623" spans="1:3" x14ac:dyDescent="0.25">
      <c r="A1623">
        <v>27</v>
      </c>
      <c r="B1623">
        <v>28</v>
      </c>
      <c r="C1623">
        <v>0.9000000000000008</v>
      </c>
    </row>
    <row r="1624" spans="1:3" x14ac:dyDescent="0.25">
      <c r="A1624">
        <v>28</v>
      </c>
      <c r="B1624">
        <v>27</v>
      </c>
      <c r="C1624">
        <v>0.9000000000000008</v>
      </c>
    </row>
    <row r="1625" spans="1:3" x14ac:dyDescent="0.25">
      <c r="A1625">
        <v>15</v>
      </c>
      <c r="B1625">
        <v>46</v>
      </c>
      <c r="C1625">
        <v>0.90000000000000036</v>
      </c>
    </row>
    <row r="1626" spans="1:3" x14ac:dyDescent="0.25">
      <c r="A1626">
        <v>46</v>
      </c>
      <c r="B1626">
        <v>15</v>
      </c>
      <c r="C1626">
        <v>0.90000000000000036</v>
      </c>
    </row>
    <row r="1627" spans="1:3" x14ac:dyDescent="0.25">
      <c r="A1627">
        <v>15</v>
      </c>
      <c r="B1627">
        <v>49</v>
      </c>
      <c r="C1627">
        <v>0.89000000000000057</v>
      </c>
    </row>
    <row r="1628" spans="1:3" x14ac:dyDescent="0.25">
      <c r="A1628">
        <v>49</v>
      </c>
      <c r="B1628">
        <v>15</v>
      </c>
      <c r="C1628">
        <v>0.89000000000000057</v>
      </c>
    </row>
    <row r="1629" spans="1:3" x14ac:dyDescent="0.25">
      <c r="A1629">
        <v>9</v>
      </c>
      <c r="B1629">
        <v>43</v>
      </c>
      <c r="C1629">
        <v>0.88999999999999957</v>
      </c>
    </row>
    <row r="1630" spans="1:3" x14ac:dyDescent="0.25">
      <c r="A1630">
        <v>43</v>
      </c>
      <c r="B1630">
        <v>9</v>
      </c>
      <c r="C1630">
        <v>0.88999999999999957</v>
      </c>
    </row>
    <row r="1631" spans="1:3" x14ac:dyDescent="0.25">
      <c r="A1631">
        <v>24</v>
      </c>
      <c r="B1631">
        <v>27</v>
      </c>
      <c r="C1631">
        <v>0.88000000000000034</v>
      </c>
    </row>
    <row r="1632" spans="1:3" x14ac:dyDescent="0.25">
      <c r="A1632">
        <v>27</v>
      </c>
      <c r="B1632">
        <v>24</v>
      </c>
      <c r="C1632">
        <v>0.88000000000000034</v>
      </c>
    </row>
    <row r="1633" spans="1:3" x14ac:dyDescent="0.25">
      <c r="A1633">
        <v>26</v>
      </c>
      <c r="B1633">
        <v>27</v>
      </c>
      <c r="C1633">
        <v>0.87999999999999967</v>
      </c>
    </row>
    <row r="1634" spans="1:3" x14ac:dyDescent="0.25">
      <c r="A1634">
        <v>27</v>
      </c>
      <c r="B1634">
        <v>26</v>
      </c>
      <c r="C1634">
        <v>0.87999999999999967</v>
      </c>
    </row>
    <row r="1635" spans="1:3" x14ac:dyDescent="0.25">
      <c r="A1635">
        <v>9</v>
      </c>
      <c r="B1635">
        <v>29</v>
      </c>
      <c r="C1635">
        <v>0.87</v>
      </c>
    </row>
    <row r="1636" spans="1:3" x14ac:dyDescent="0.25">
      <c r="A1636">
        <v>29</v>
      </c>
      <c r="B1636">
        <v>9</v>
      </c>
      <c r="C1636">
        <v>0.87</v>
      </c>
    </row>
    <row r="1637" spans="1:3" x14ac:dyDescent="0.25">
      <c r="A1637">
        <v>9</v>
      </c>
      <c r="B1637">
        <v>21</v>
      </c>
      <c r="C1637">
        <v>0.86</v>
      </c>
    </row>
    <row r="1638" spans="1:3" x14ac:dyDescent="0.25">
      <c r="A1638">
        <v>21</v>
      </c>
      <c r="B1638">
        <v>9</v>
      </c>
      <c r="C1638">
        <v>0.86</v>
      </c>
    </row>
    <row r="1639" spans="1:3" x14ac:dyDescent="0.25">
      <c r="A1639">
        <v>18</v>
      </c>
      <c r="B1639">
        <v>27</v>
      </c>
      <c r="C1639">
        <v>0.85000000000000009</v>
      </c>
    </row>
    <row r="1640" spans="1:3" x14ac:dyDescent="0.25">
      <c r="A1640">
        <v>19</v>
      </c>
      <c r="B1640">
        <v>32</v>
      </c>
      <c r="C1640">
        <v>0.85000000000000009</v>
      </c>
    </row>
    <row r="1641" spans="1:3" x14ac:dyDescent="0.25">
      <c r="A1641">
        <v>22</v>
      </c>
      <c r="B1641">
        <v>45</v>
      </c>
      <c r="C1641">
        <v>0.85000000000000009</v>
      </c>
    </row>
    <row r="1642" spans="1:3" x14ac:dyDescent="0.25">
      <c r="A1642">
        <v>27</v>
      </c>
      <c r="B1642">
        <v>18</v>
      </c>
      <c r="C1642">
        <v>0.85000000000000009</v>
      </c>
    </row>
    <row r="1643" spans="1:3" x14ac:dyDescent="0.25">
      <c r="A1643">
        <v>32</v>
      </c>
      <c r="B1643">
        <v>19</v>
      </c>
      <c r="C1643">
        <v>0.85000000000000009</v>
      </c>
    </row>
    <row r="1644" spans="1:3" x14ac:dyDescent="0.25">
      <c r="A1644">
        <v>45</v>
      </c>
      <c r="B1644">
        <v>22</v>
      </c>
      <c r="C1644">
        <v>0.85000000000000009</v>
      </c>
    </row>
    <row r="1645" spans="1:3" x14ac:dyDescent="0.25">
      <c r="A1645">
        <v>13</v>
      </c>
      <c r="B1645">
        <v>30</v>
      </c>
      <c r="C1645">
        <v>0.8400000000000003</v>
      </c>
    </row>
    <row r="1646" spans="1:3" x14ac:dyDescent="0.25">
      <c r="A1646">
        <v>29</v>
      </c>
      <c r="B1646">
        <v>45</v>
      </c>
      <c r="C1646">
        <v>0.8400000000000003</v>
      </c>
    </row>
    <row r="1647" spans="1:3" x14ac:dyDescent="0.25">
      <c r="A1647">
        <v>30</v>
      </c>
      <c r="B1647">
        <v>13</v>
      </c>
      <c r="C1647">
        <v>0.8400000000000003</v>
      </c>
    </row>
    <row r="1648" spans="1:3" x14ac:dyDescent="0.25">
      <c r="A1648">
        <v>45</v>
      </c>
      <c r="B1648">
        <v>29</v>
      </c>
      <c r="C1648">
        <v>0.8400000000000003</v>
      </c>
    </row>
    <row r="1649" spans="1:3" x14ac:dyDescent="0.25">
      <c r="A1649">
        <v>31</v>
      </c>
      <c r="B1649">
        <v>46</v>
      </c>
      <c r="C1649">
        <v>0.83000000000000007</v>
      </c>
    </row>
    <row r="1650" spans="1:3" x14ac:dyDescent="0.25">
      <c r="A1650">
        <v>46</v>
      </c>
      <c r="B1650">
        <v>31</v>
      </c>
      <c r="C1650">
        <v>0.83000000000000007</v>
      </c>
    </row>
    <row r="1651" spans="1:3" x14ac:dyDescent="0.25">
      <c r="A1651">
        <v>13</v>
      </c>
      <c r="B1651">
        <v>20</v>
      </c>
      <c r="C1651">
        <v>0.82999999999999952</v>
      </c>
    </row>
    <row r="1652" spans="1:3" x14ac:dyDescent="0.25">
      <c r="A1652">
        <v>20</v>
      </c>
      <c r="B1652">
        <v>13</v>
      </c>
      <c r="C1652">
        <v>0.82999999999999952</v>
      </c>
    </row>
    <row r="1653" spans="1:3" x14ac:dyDescent="0.25">
      <c r="A1653">
        <v>11</v>
      </c>
      <c r="B1653">
        <v>35</v>
      </c>
      <c r="C1653">
        <v>0.82999999999999208</v>
      </c>
    </row>
    <row r="1654" spans="1:3" x14ac:dyDescent="0.25">
      <c r="A1654">
        <v>35</v>
      </c>
      <c r="B1654">
        <v>11</v>
      </c>
      <c r="C1654">
        <v>0.82999999999999208</v>
      </c>
    </row>
    <row r="1655" spans="1:3" x14ac:dyDescent="0.25">
      <c r="A1655">
        <v>7</v>
      </c>
      <c r="B1655">
        <v>46</v>
      </c>
      <c r="C1655">
        <v>0.81999999999999762</v>
      </c>
    </row>
    <row r="1656" spans="1:3" x14ac:dyDescent="0.25">
      <c r="A1656">
        <v>46</v>
      </c>
      <c r="B1656">
        <v>7</v>
      </c>
      <c r="C1656">
        <v>0.81999999999999762</v>
      </c>
    </row>
    <row r="1657" spans="1:3" x14ac:dyDescent="0.25">
      <c r="A1657">
        <v>11</v>
      </c>
      <c r="B1657">
        <v>38</v>
      </c>
      <c r="C1657">
        <v>0.81999999999999362</v>
      </c>
    </row>
    <row r="1658" spans="1:3" x14ac:dyDescent="0.25">
      <c r="A1658">
        <v>38</v>
      </c>
      <c r="B1658">
        <v>11</v>
      </c>
      <c r="C1658">
        <v>0.81999999999999362</v>
      </c>
    </row>
    <row r="1659" spans="1:3" x14ac:dyDescent="0.25">
      <c r="A1659">
        <v>18</v>
      </c>
      <c r="B1659">
        <v>24</v>
      </c>
      <c r="C1659">
        <v>0.8100000000000005</v>
      </c>
    </row>
    <row r="1660" spans="1:3" x14ac:dyDescent="0.25">
      <c r="A1660">
        <v>24</v>
      </c>
      <c r="B1660">
        <v>18</v>
      </c>
      <c r="C1660">
        <v>0.8100000000000005</v>
      </c>
    </row>
    <row r="1661" spans="1:3" x14ac:dyDescent="0.25">
      <c r="A1661">
        <v>36</v>
      </c>
      <c r="B1661">
        <v>44</v>
      </c>
      <c r="C1661">
        <v>0.81000000000000028</v>
      </c>
    </row>
    <row r="1662" spans="1:3" x14ac:dyDescent="0.25">
      <c r="A1662">
        <v>44</v>
      </c>
      <c r="B1662">
        <v>36</v>
      </c>
      <c r="C1662">
        <v>0.81000000000000028</v>
      </c>
    </row>
    <row r="1663" spans="1:3" x14ac:dyDescent="0.25">
      <c r="A1663">
        <v>8</v>
      </c>
      <c r="B1663">
        <v>38</v>
      </c>
      <c r="C1663">
        <v>0.80000000000001181</v>
      </c>
    </row>
    <row r="1664" spans="1:3" x14ac:dyDescent="0.25">
      <c r="A1664">
        <v>38</v>
      </c>
      <c r="B1664">
        <v>8</v>
      </c>
      <c r="C1664">
        <v>0.80000000000001181</v>
      </c>
    </row>
    <row r="1665" spans="1:3" x14ac:dyDescent="0.25">
      <c r="A1665">
        <v>17</v>
      </c>
      <c r="B1665">
        <v>42</v>
      </c>
      <c r="C1665">
        <v>0.80000000000000027</v>
      </c>
    </row>
    <row r="1666" spans="1:3" x14ac:dyDescent="0.25">
      <c r="A1666">
        <v>42</v>
      </c>
      <c r="B1666">
        <v>17</v>
      </c>
      <c r="C1666">
        <v>0.80000000000000027</v>
      </c>
    </row>
    <row r="1667" spans="1:3" x14ac:dyDescent="0.25">
      <c r="A1667">
        <v>9</v>
      </c>
      <c r="B1667">
        <v>34</v>
      </c>
      <c r="C1667">
        <v>0.80000000000000016</v>
      </c>
    </row>
    <row r="1668" spans="1:3" x14ac:dyDescent="0.25">
      <c r="A1668">
        <v>34</v>
      </c>
      <c r="B1668">
        <v>9</v>
      </c>
      <c r="C1668">
        <v>0.80000000000000016</v>
      </c>
    </row>
    <row r="1669" spans="1:3" x14ac:dyDescent="0.25">
      <c r="A1669">
        <v>18</v>
      </c>
      <c r="B1669">
        <v>23</v>
      </c>
      <c r="C1669">
        <v>0.8</v>
      </c>
    </row>
    <row r="1670" spans="1:3" x14ac:dyDescent="0.25">
      <c r="A1670">
        <v>23</v>
      </c>
      <c r="B1670">
        <v>18</v>
      </c>
      <c r="C1670">
        <v>0.8</v>
      </c>
    </row>
    <row r="1671" spans="1:3" x14ac:dyDescent="0.25">
      <c r="A1671">
        <v>32</v>
      </c>
      <c r="B1671">
        <v>40</v>
      </c>
      <c r="C1671">
        <v>0.79999999999999938</v>
      </c>
    </row>
    <row r="1672" spans="1:3" x14ac:dyDescent="0.25">
      <c r="A1672">
        <v>40</v>
      </c>
      <c r="B1672">
        <v>32</v>
      </c>
      <c r="C1672">
        <v>0.79999999999999938</v>
      </c>
    </row>
    <row r="1673" spans="1:3" x14ac:dyDescent="0.25">
      <c r="A1673">
        <v>27</v>
      </c>
      <c r="B1673">
        <v>47</v>
      </c>
      <c r="C1673">
        <v>0.79000000000000137</v>
      </c>
    </row>
    <row r="1674" spans="1:3" x14ac:dyDescent="0.25">
      <c r="A1674">
        <v>47</v>
      </c>
      <c r="B1674">
        <v>27</v>
      </c>
      <c r="C1674">
        <v>0.79000000000000137</v>
      </c>
    </row>
    <row r="1675" spans="1:3" x14ac:dyDescent="0.25">
      <c r="A1675">
        <v>21</v>
      </c>
      <c r="B1675">
        <v>46</v>
      </c>
      <c r="C1675">
        <v>0.78999999999999981</v>
      </c>
    </row>
    <row r="1676" spans="1:3" x14ac:dyDescent="0.25">
      <c r="A1676">
        <v>46</v>
      </c>
      <c r="B1676">
        <v>21</v>
      </c>
      <c r="C1676">
        <v>0.78999999999999981</v>
      </c>
    </row>
    <row r="1677" spans="1:3" x14ac:dyDescent="0.25">
      <c r="A1677">
        <v>14</v>
      </c>
      <c r="B1677">
        <v>20</v>
      </c>
      <c r="C1677">
        <v>0.78999999999999948</v>
      </c>
    </row>
    <row r="1678" spans="1:3" x14ac:dyDescent="0.25">
      <c r="A1678">
        <v>20</v>
      </c>
      <c r="B1678">
        <v>14</v>
      </c>
      <c r="C1678">
        <v>0.78999999999999948</v>
      </c>
    </row>
    <row r="1679" spans="1:3" x14ac:dyDescent="0.25">
      <c r="A1679">
        <v>14</v>
      </c>
      <c r="B1679">
        <v>42</v>
      </c>
      <c r="C1679">
        <v>0.78999999999999915</v>
      </c>
    </row>
    <row r="1680" spans="1:3" x14ac:dyDescent="0.25">
      <c r="A1680">
        <v>42</v>
      </c>
      <c r="B1680">
        <v>14</v>
      </c>
      <c r="C1680">
        <v>0.78999999999999915</v>
      </c>
    </row>
    <row r="1681" spans="1:3" x14ac:dyDescent="0.25">
      <c r="A1681">
        <v>10</v>
      </c>
      <c r="B1681">
        <v>38</v>
      </c>
      <c r="C1681">
        <v>0.78000000000000158</v>
      </c>
    </row>
    <row r="1682" spans="1:3" x14ac:dyDescent="0.25">
      <c r="A1682">
        <v>38</v>
      </c>
      <c r="B1682">
        <v>10</v>
      </c>
      <c r="C1682">
        <v>0.78000000000000158</v>
      </c>
    </row>
    <row r="1683" spans="1:3" x14ac:dyDescent="0.25">
      <c r="A1683">
        <v>20</v>
      </c>
      <c r="B1683">
        <v>26</v>
      </c>
      <c r="C1683">
        <v>0.77999999999999992</v>
      </c>
    </row>
    <row r="1684" spans="1:3" x14ac:dyDescent="0.25">
      <c r="A1684">
        <v>26</v>
      </c>
      <c r="B1684">
        <v>20</v>
      </c>
      <c r="C1684">
        <v>0.77999999999999992</v>
      </c>
    </row>
    <row r="1685" spans="1:3" x14ac:dyDescent="0.25">
      <c r="A1685">
        <v>12</v>
      </c>
      <c r="B1685">
        <v>20</v>
      </c>
      <c r="C1685">
        <v>0.77999999999999436</v>
      </c>
    </row>
    <row r="1686" spans="1:3" x14ac:dyDescent="0.25">
      <c r="A1686">
        <v>20</v>
      </c>
      <c r="B1686">
        <v>12</v>
      </c>
      <c r="C1686">
        <v>0.77999999999999436</v>
      </c>
    </row>
    <row r="1687" spans="1:3" x14ac:dyDescent="0.25">
      <c r="A1687">
        <v>3</v>
      </c>
      <c r="B1687">
        <v>16</v>
      </c>
      <c r="C1687">
        <v>0.77000000000000668</v>
      </c>
    </row>
    <row r="1688" spans="1:3" x14ac:dyDescent="0.25">
      <c r="A1688">
        <v>16</v>
      </c>
      <c r="B1688">
        <v>3</v>
      </c>
      <c r="C1688">
        <v>0.77000000000000668</v>
      </c>
    </row>
    <row r="1689" spans="1:3" x14ac:dyDescent="0.25">
      <c r="A1689">
        <v>16</v>
      </c>
      <c r="B1689">
        <v>40</v>
      </c>
      <c r="C1689">
        <v>0.77000000000000135</v>
      </c>
    </row>
    <row r="1690" spans="1:3" x14ac:dyDescent="0.25">
      <c r="A1690">
        <v>40</v>
      </c>
      <c r="B1690">
        <v>16</v>
      </c>
      <c r="C1690">
        <v>0.77000000000000135</v>
      </c>
    </row>
    <row r="1691" spans="1:3" x14ac:dyDescent="0.25">
      <c r="A1691">
        <v>13</v>
      </c>
      <c r="B1691">
        <v>34</v>
      </c>
      <c r="C1691">
        <v>0.76999999999999957</v>
      </c>
    </row>
    <row r="1692" spans="1:3" x14ac:dyDescent="0.25">
      <c r="A1692">
        <v>34</v>
      </c>
      <c r="B1692">
        <v>13</v>
      </c>
      <c r="C1692">
        <v>0.76999999999999957</v>
      </c>
    </row>
    <row r="1693" spans="1:3" x14ac:dyDescent="0.25">
      <c r="A1693">
        <v>8</v>
      </c>
      <c r="B1693">
        <v>30</v>
      </c>
      <c r="C1693">
        <v>0.76999999999999735</v>
      </c>
    </row>
    <row r="1694" spans="1:3" x14ac:dyDescent="0.25">
      <c r="A1694">
        <v>30</v>
      </c>
      <c r="B1694">
        <v>8</v>
      </c>
      <c r="C1694">
        <v>0.76999999999999735</v>
      </c>
    </row>
    <row r="1695" spans="1:3" x14ac:dyDescent="0.25">
      <c r="A1695">
        <v>10</v>
      </c>
      <c r="B1695">
        <v>30</v>
      </c>
      <c r="C1695">
        <v>0.76000000000000645</v>
      </c>
    </row>
    <row r="1696" spans="1:3" x14ac:dyDescent="0.25">
      <c r="A1696">
        <v>30</v>
      </c>
      <c r="B1696">
        <v>10</v>
      </c>
      <c r="C1696">
        <v>0.76000000000000645</v>
      </c>
    </row>
    <row r="1697" spans="1:3" x14ac:dyDescent="0.25">
      <c r="A1697">
        <v>6</v>
      </c>
      <c r="B1697">
        <v>21</v>
      </c>
      <c r="C1697">
        <v>0.76000000000000401</v>
      </c>
    </row>
    <row r="1698" spans="1:3" x14ac:dyDescent="0.25">
      <c r="A1698">
        <v>21</v>
      </c>
      <c r="B1698">
        <v>6</v>
      </c>
      <c r="C1698">
        <v>0.76000000000000401</v>
      </c>
    </row>
    <row r="1699" spans="1:3" x14ac:dyDescent="0.25">
      <c r="A1699">
        <v>21</v>
      </c>
      <c r="B1699">
        <v>37</v>
      </c>
      <c r="C1699">
        <v>0.76000000000000045</v>
      </c>
    </row>
    <row r="1700" spans="1:3" x14ac:dyDescent="0.25">
      <c r="A1700">
        <v>37</v>
      </c>
      <c r="B1700">
        <v>21</v>
      </c>
      <c r="C1700">
        <v>0.76000000000000045</v>
      </c>
    </row>
    <row r="1701" spans="1:3" x14ac:dyDescent="0.25">
      <c r="A1701">
        <v>15</v>
      </c>
      <c r="B1701">
        <v>37</v>
      </c>
      <c r="C1701">
        <v>0.75999999999999979</v>
      </c>
    </row>
    <row r="1702" spans="1:3" x14ac:dyDescent="0.25">
      <c r="A1702">
        <v>37</v>
      </c>
      <c r="B1702">
        <v>15</v>
      </c>
      <c r="C1702">
        <v>0.75999999999999979</v>
      </c>
    </row>
    <row r="1703" spans="1:3" x14ac:dyDescent="0.25">
      <c r="A1703">
        <v>20</v>
      </c>
      <c r="B1703">
        <v>40</v>
      </c>
      <c r="C1703">
        <v>0.75000000000000033</v>
      </c>
    </row>
    <row r="1704" spans="1:3" x14ac:dyDescent="0.25">
      <c r="A1704">
        <v>40</v>
      </c>
      <c r="B1704">
        <v>20</v>
      </c>
      <c r="C1704">
        <v>0.75000000000000033</v>
      </c>
    </row>
    <row r="1705" spans="1:3" x14ac:dyDescent="0.25">
      <c r="A1705">
        <v>26</v>
      </c>
      <c r="B1705">
        <v>41</v>
      </c>
      <c r="C1705">
        <v>0.74999999999999978</v>
      </c>
    </row>
    <row r="1706" spans="1:3" x14ac:dyDescent="0.25">
      <c r="A1706">
        <v>41</v>
      </c>
      <c r="B1706">
        <v>26</v>
      </c>
      <c r="C1706">
        <v>0.74999999999999978</v>
      </c>
    </row>
    <row r="1707" spans="1:3" x14ac:dyDescent="0.25">
      <c r="A1707">
        <v>5</v>
      </c>
      <c r="B1707">
        <v>17</v>
      </c>
      <c r="C1707">
        <v>0.74000000000000021</v>
      </c>
    </row>
    <row r="1708" spans="1:3" x14ac:dyDescent="0.25">
      <c r="A1708">
        <v>17</v>
      </c>
      <c r="B1708">
        <v>5</v>
      </c>
      <c r="C1708">
        <v>0.74000000000000021</v>
      </c>
    </row>
    <row r="1709" spans="1:3" x14ac:dyDescent="0.25">
      <c r="A1709">
        <v>19</v>
      </c>
      <c r="B1709">
        <v>40</v>
      </c>
      <c r="C1709">
        <v>0.74000000000000021</v>
      </c>
    </row>
    <row r="1710" spans="1:3" x14ac:dyDescent="0.25">
      <c r="A1710">
        <v>40</v>
      </c>
      <c r="B1710">
        <v>19</v>
      </c>
      <c r="C1710">
        <v>0.74000000000000021</v>
      </c>
    </row>
    <row r="1711" spans="1:3" x14ac:dyDescent="0.25">
      <c r="A1711">
        <v>42</v>
      </c>
      <c r="B1711">
        <v>45</v>
      </c>
      <c r="C1711">
        <v>0.73999999999999977</v>
      </c>
    </row>
    <row r="1712" spans="1:3" x14ac:dyDescent="0.25">
      <c r="A1712">
        <v>45</v>
      </c>
      <c r="B1712">
        <v>42</v>
      </c>
      <c r="C1712">
        <v>0.73999999999999977</v>
      </c>
    </row>
    <row r="1713" spans="1:3" x14ac:dyDescent="0.25">
      <c r="A1713">
        <v>33</v>
      </c>
      <c r="B1713">
        <v>42</v>
      </c>
      <c r="C1713">
        <v>0.71999999999999975</v>
      </c>
    </row>
    <row r="1714" spans="1:3" x14ac:dyDescent="0.25">
      <c r="A1714">
        <v>42</v>
      </c>
      <c r="B1714">
        <v>33</v>
      </c>
      <c r="C1714">
        <v>0.71999999999999975</v>
      </c>
    </row>
    <row r="1715" spans="1:3" x14ac:dyDescent="0.25">
      <c r="A1715">
        <v>4</v>
      </c>
      <c r="B1715">
        <v>33</v>
      </c>
      <c r="C1715">
        <v>0.71000000000000174</v>
      </c>
    </row>
    <row r="1716" spans="1:3" x14ac:dyDescent="0.25">
      <c r="A1716">
        <v>33</v>
      </c>
      <c r="B1716">
        <v>4</v>
      </c>
      <c r="C1716">
        <v>0.71000000000000174</v>
      </c>
    </row>
    <row r="1717" spans="1:3" x14ac:dyDescent="0.25">
      <c r="A1717">
        <v>20</v>
      </c>
      <c r="B1717">
        <v>33</v>
      </c>
      <c r="C1717">
        <v>0.7100000000000003</v>
      </c>
    </row>
    <row r="1718" spans="1:3" x14ac:dyDescent="0.25">
      <c r="A1718">
        <v>33</v>
      </c>
      <c r="B1718">
        <v>20</v>
      </c>
      <c r="C1718">
        <v>0.7100000000000003</v>
      </c>
    </row>
    <row r="1719" spans="1:3" x14ac:dyDescent="0.25">
      <c r="A1719">
        <v>22</v>
      </c>
      <c r="B1719">
        <v>46</v>
      </c>
      <c r="C1719">
        <v>0.71</v>
      </c>
    </row>
    <row r="1720" spans="1:3" x14ac:dyDescent="0.25">
      <c r="A1720">
        <v>46</v>
      </c>
      <c r="B1720">
        <v>22</v>
      </c>
      <c r="C1720">
        <v>0.71</v>
      </c>
    </row>
    <row r="1721" spans="1:3" x14ac:dyDescent="0.25">
      <c r="A1721">
        <v>5</v>
      </c>
      <c r="B1721">
        <v>25</v>
      </c>
      <c r="C1721">
        <v>0.70999999999999952</v>
      </c>
    </row>
    <row r="1722" spans="1:3" x14ac:dyDescent="0.25">
      <c r="A1722">
        <v>25</v>
      </c>
      <c r="B1722">
        <v>5</v>
      </c>
      <c r="C1722">
        <v>0.70999999999999952</v>
      </c>
    </row>
    <row r="1723" spans="1:3" x14ac:dyDescent="0.25">
      <c r="A1723">
        <v>44</v>
      </c>
      <c r="B1723">
        <v>47</v>
      </c>
      <c r="C1723">
        <v>0.70999999999999841</v>
      </c>
    </row>
    <row r="1724" spans="1:3" x14ac:dyDescent="0.25">
      <c r="A1724">
        <v>47</v>
      </c>
      <c r="B1724">
        <v>44</v>
      </c>
      <c r="C1724">
        <v>0.70999999999999841</v>
      </c>
    </row>
    <row r="1725" spans="1:3" x14ac:dyDescent="0.25">
      <c r="A1725">
        <v>3</v>
      </c>
      <c r="B1725">
        <v>32</v>
      </c>
      <c r="C1725">
        <v>0.70999999999999774</v>
      </c>
    </row>
    <row r="1726" spans="1:3" x14ac:dyDescent="0.25">
      <c r="A1726">
        <v>32</v>
      </c>
      <c r="B1726">
        <v>3</v>
      </c>
      <c r="C1726">
        <v>0.70999999999999774</v>
      </c>
    </row>
    <row r="1727" spans="1:3" x14ac:dyDescent="0.25">
      <c r="A1727">
        <v>26</v>
      </c>
      <c r="B1727">
        <v>32</v>
      </c>
      <c r="C1727">
        <v>0.7</v>
      </c>
    </row>
    <row r="1728" spans="1:3" x14ac:dyDescent="0.25">
      <c r="A1728">
        <v>32</v>
      </c>
      <c r="B1728">
        <v>26</v>
      </c>
      <c r="C1728">
        <v>0.7</v>
      </c>
    </row>
    <row r="1729" spans="1:3" x14ac:dyDescent="0.25">
      <c r="A1729">
        <v>21</v>
      </c>
      <c r="B1729">
        <v>49</v>
      </c>
      <c r="C1729">
        <v>0.69000000000000017</v>
      </c>
    </row>
    <row r="1730" spans="1:3" x14ac:dyDescent="0.25">
      <c r="A1730">
        <v>49</v>
      </c>
      <c r="B1730">
        <v>21</v>
      </c>
      <c r="C1730">
        <v>0.69000000000000017</v>
      </c>
    </row>
    <row r="1731" spans="1:3" x14ac:dyDescent="0.25">
      <c r="A1731">
        <v>7</v>
      </c>
      <c r="B1731">
        <v>21</v>
      </c>
      <c r="C1731">
        <v>0.68000000000000571</v>
      </c>
    </row>
    <row r="1732" spans="1:3" x14ac:dyDescent="0.25">
      <c r="A1732">
        <v>21</v>
      </c>
      <c r="B1732">
        <v>7</v>
      </c>
      <c r="C1732">
        <v>0.68000000000000571</v>
      </c>
    </row>
    <row r="1733" spans="1:3" x14ac:dyDescent="0.25">
      <c r="A1733">
        <v>9</v>
      </c>
      <c r="B1733">
        <v>37</v>
      </c>
      <c r="C1733">
        <v>0.68000000000000049</v>
      </c>
    </row>
    <row r="1734" spans="1:3" x14ac:dyDescent="0.25">
      <c r="A1734">
        <v>37</v>
      </c>
      <c r="B1734">
        <v>9</v>
      </c>
      <c r="C1734">
        <v>0.68000000000000049</v>
      </c>
    </row>
    <row r="1735" spans="1:3" x14ac:dyDescent="0.25">
      <c r="A1735">
        <v>27</v>
      </c>
      <c r="B1735">
        <v>35</v>
      </c>
      <c r="C1735">
        <v>0.68000000000000016</v>
      </c>
    </row>
    <row r="1736" spans="1:3" x14ac:dyDescent="0.25">
      <c r="A1736">
        <v>35</v>
      </c>
      <c r="B1736">
        <v>27</v>
      </c>
      <c r="C1736">
        <v>0.68000000000000016</v>
      </c>
    </row>
    <row r="1737" spans="1:3" x14ac:dyDescent="0.25">
      <c r="A1737">
        <v>3</v>
      </c>
      <c r="B1737">
        <v>20</v>
      </c>
      <c r="C1737">
        <v>0.68</v>
      </c>
    </row>
    <row r="1738" spans="1:3" x14ac:dyDescent="0.25">
      <c r="A1738">
        <v>18</v>
      </c>
      <c r="B1738">
        <v>20</v>
      </c>
      <c r="C1738">
        <v>0.68</v>
      </c>
    </row>
    <row r="1739" spans="1:3" x14ac:dyDescent="0.25">
      <c r="A1739">
        <v>20</v>
      </c>
      <c r="B1739">
        <v>3</v>
      </c>
      <c r="C1739">
        <v>0.68</v>
      </c>
    </row>
    <row r="1740" spans="1:3" x14ac:dyDescent="0.25">
      <c r="A1740">
        <v>20</v>
      </c>
      <c r="B1740">
        <v>18</v>
      </c>
      <c r="C1740">
        <v>0.68</v>
      </c>
    </row>
    <row r="1741" spans="1:3" x14ac:dyDescent="0.25">
      <c r="A1741">
        <v>13</v>
      </c>
      <c r="B1741">
        <v>24</v>
      </c>
      <c r="C1741">
        <v>0.66999999999999993</v>
      </c>
    </row>
    <row r="1742" spans="1:3" x14ac:dyDescent="0.25">
      <c r="A1742">
        <v>21</v>
      </c>
      <c r="B1742">
        <v>44</v>
      </c>
      <c r="C1742">
        <v>0.66999999999999993</v>
      </c>
    </row>
    <row r="1743" spans="1:3" x14ac:dyDescent="0.25">
      <c r="A1743">
        <v>24</v>
      </c>
      <c r="B1743">
        <v>13</v>
      </c>
      <c r="C1743">
        <v>0.66999999999999993</v>
      </c>
    </row>
    <row r="1744" spans="1:3" x14ac:dyDescent="0.25">
      <c r="A1744">
        <v>44</v>
      </c>
      <c r="B1744">
        <v>21</v>
      </c>
      <c r="C1744">
        <v>0.66999999999999993</v>
      </c>
    </row>
    <row r="1745" spans="1:3" x14ac:dyDescent="0.25">
      <c r="A1745">
        <v>46</v>
      </c>
      <c r="B1745">
        <v>49</v>
      </c>
      <c r="C1745">
        <v>0.66999999999999993</v>
      </c>
    </row>
    <row r="1746" spans="1:3" x14ac:dyDescent="0.25">
      <c r="A1746">
        <v>49</v>
      </c>
      <c r="B1746">
        <v>46</v>
      </c>
      <c r="C1746">
        <v>0.66999999999999993</v>
      </c>
    </row>
    <row r="1747" spans="1:3" x14ac:dyDescent="0.25">
      <c r="A1747">
        <v>28</v>
      </c>
      <c r="B1747">
        <v>44</v>
      </c>
      <c r="C1747">
        <v>0.66999999999999926</v>
      </c>
    </row>
    <row r="1748" spans="1:3" x14ac:dyDescent="0.25">
      <c r="A1748">
        <v>44</v>
      </c>
      <c r="B1748">
        <v>28</v>
      </c>
      <c r="C1748">
        <v>0.66999999999999926</v>
      </c>
    </row>
    <row r="1749" spans="1:3" x14ac:dyDescent="0.25">
      <c r="A1749">
        <v>13</v>
      </c>
      <c r="B1749">
        <v>23</v>
      </c>
      <c r="C1749">
        <v>0.65999999999999948</v>
      </c>
    </row>
    <row r="1750" spans="1:3" x14ac:dyDescent="0.25">
      <c r="A1750">
        <v>23</v>
      </c>
      <c r="B1750">
        <v>13</v>
      </c>
      <c r="C1750">
        <v>0.65999999999999948</v>
      </c>
    </row>
    <row r="1751" spans="1:3" x14ac:dyDescent="0.25">
      <c r="A1751">
        <v>20</v>
      </c>
      <c r="B1751">
        <v>50</v>
      </c>
      <c r="C1751">
        <v>0.65999999999999692</v>
      </c>
    </row>
    <row r="1752" spans="1:3" x14ac:dyDescent="0.25">
      <c r="A1752">
        <v>50</v>
      </c>
      <c r="B1752">
        <v>20</v>
      </c>
      <c r="C1752">
        <v>0.65999999999999692</v>
      </c>
    </row>
    <row r="1753" spans="1:3" x14ac:dyDescent="0.25">
      <c r="A1753">
        <v>24</v>
      </c>
      <c r="B1753">
        <v>32</v>
      </c>
      <c r="C1753">
        <v>0.64999999999999991</v>
      </c>
    </row>
    <row r="1754" spans="1:3" x14ac:dyDescent="0.25">
      <c r="A1754">
        <v>25</v>
      </c>
      <c r="B1754">
        <v>42</v>
      </c>
      <c r="C1754">
        <v>0.64999999999999991</v>
      </c>
    </row>
    <row r="1755" spans="1:3" x14ac:dyDescent="0.25">
      <c r="A1755">
        <v>27</v>
      </c>
      <c r="B1755">
        <v>39</v>
      </c>
      <c r="C1755">
        <v>0.64999999999999991</v>
      </c>
    </row>
    <row r="1756" spans="1:3" x14ac:dyDescent="0.25">
      <c r="A1756">
        <v>32</v>
      </c>
      <c r="B1756">
        <v>24</v>
      </c>
      <c r="C1756">
        <v>0.64999999999999991</v>
      </c>
    </row>
    <row r="1757" spans="1:3" x14ac:dyDescent="0.25">
      <c r="A1757">
        <v>39</v>
      </c>
      <c r="B1757">
        <v>27</v>
      </c>
      <c r="C1757">
        <v>0.64999999999999991</v>
      </c>
    </row>
    <row r="1758" spans="1:3" x14ac:dyDescent="0.25">
      <c r="A1758">
        <v>42</v>
      </c>
      <c r="B1758">
        <v>25</v>
      </c>
      <c r="C1758">
        <v>0.64999999999999991</v>
      </c>
    </row>
    <row r="1759" spans="1:3" x14ac:dyDescent="0.25">
      <c r="A1759">
        <v>32</v>
      </c>
      <c r="B1759">
        <v>50</v>
      </c>
      <c r="C1759">
        <v>0.64999999999999902</v>
      </c>
    </row>
    <row r="1760" spans="1:3" x14ac:dyDescent="0.25">
      <c r="A1760">
        <v>50</v>
      </c>
      <c r="B1760">
        <v>32</v>
      </c>
      <c r="C1760">
        <v>0.64999999999999902</v>
      </c>
    </row>
    <row r="1761" spans="1:3" x14ac:dyDescent="0.25">
      <c r="A1761">
        <v>8</v>
      </c>
      <c r="B1761">
        <v>41</v>
      </c>
      <c r="C1761">
        <v>0.63000000000000744</v>
      </c>
    </row>
    <row r="1762" spans="1:3" x14ac:dyDescent="0.25">
      <c r="A1762">
        <v>41</v>
      </c>
      <c r="B1762">
        <v>8</v>
      </c>
      <c r="C1762">
        <v>0.63000000000000744</v>
      </c>
    </row>
    <row r="1763" spans="1:3" x14ac:dyDescent="0.25">
      <c r="A1763">
        <v>16</v>
      </c>
      <c r="B1763">
        <v>50</v>
      </c>
      <c r="C1763">
        <v>0.62999999999999901</v>
      </c>
    </row>
    <row r="1764" spans="1:3" x14ac:dyDescent="0.25">
      <c r="A1764">
        <v>50</v>
      </c>
      <c r="B1764">
        <v>16</v>
      </c>
      <c r="C1764">
        <v>0.62999999999999901</v>
      </c>
    </row>
    <row r="1765" spans="1:3" x14ac:dyDescent="0.25">
      <c r="A1765">
        <v>11</v>
      </c>
      <c r="B1765">
        <v>39</v>
      </c>
      <c r="C1765">
        <v>0.62999999999999368</v>
      </c>
    </row>
    <row r="1766" spans="1:3" x14ac:dyDescent="0.25">
      <c r="A1766">
        <v>39</v>
      </c>
      <c r="B1766">
        <v>11</v>
      </c>
      <c r="C1766">
        <v>0.62999999999999368</v>
      </c>
    </row>
    <row r="1767" spans="1:3" x14ac:dyDescent="0.25">
      <c r="A1767">
        <v>10</v>
      </c>
      <c r="B1767">
        <v>41</v>
      </c>
      <c r="C1767">
        <v>0.62000000000000233</v>
      </c>
    </row>
    <row r="1768" spans="1:3" x14ac:dyDescent="0.25">
      <c r="A1768">
        <v>41</v>
      </c>
      <c r="B1768">
        <v>10</v>
      </c>
      <c r="C1768">
        <v>0.62000000000000233</v>
      </c>
    </row>
    <row r="1769" spans="1:3" x14ac:dyDescent="0.25">
      <c r="A1769">
        <v>26</v>
      </c>
      <c r="B1769">
        <v>38</v>
      </c>
      <c r="C1769">
        <v>0.61999999999999988</v>
      </c>
    </row>
    <row r="1770" spans="1:3" x14ac:dyDescent="0.25">
      <c r="A1770">
        <v>38</v>
      </c>
      <c r="B1770">
        <v>26</v>
      </c>
      <c r="C1770">
        <v>0.61999999999999988</v>
      </c>
    </row>
    <row r="1771" spans="1:3" x14ac:dyDescent="0.25">
      <c r="A1771">
        <v>2</v>
      </c>
      <c r="B1771">
        <v>44</v>
      </c>
      <c r="C1771">
        <v>0.61999999999999855</v>
      </c>
    </row>
    <row r="1772" spans="1:3" x14ac:dyDescent="0.25">
      <c r="A1772">
        <v>44</v>
      </c>
      <c r="B1772">
        <v>2</v>
      </c>
      <c r="C1772">
        <v>0.61999999999999855</v>
      </c>
    </row>
    <row r="1773" spans="1:3" x14ac:dyDescent="0.25">
      <c r="A1773">
        <v>2</v>
      </c>
      <c r="B1773">
        <v>20</v>
      </c>
      <c r="C1773">
        <v>0.61999999999999778</v>
      </c>
    </row>
    <row r="1774" spans="1:3" x14ac:dyDescent="0.25">
      <c r="A1774">
        <v>20</v>
      </c>
      <c r="B1774">
        <v>2</v>
      </c>
      <c r="C1774">
        <v>0.61999999999999778</v>
      </c>
    </row>
    <row r="1775" spans="1:3" x14ac:dyDescent="0.25">
      <c r="A1775">
        <v>4</v>
      </c>
      <c r="B1775">
        <v>17</v>
      </c>
      <c r="C1775">
        <v>0.60999999999999055</v>
      </c>
    </row>
    <row r="1776" spans="1:3" x14ac:dyDescent="0.25">
      <c r="A1776">
        <v>17</v>
      </c>
      <c r="B1776">
        <v>4</v>
      </c>
      <c r="C1776">
        <v>0.60999999999999055</v>
      </c>
    </row>
    <row r="1777" spans="1:3" x14ac:dyDescent="0.25">
      <c r="A1777">
        <v>8</v>
      </c>
      <c r="B1777">
        <v>23</v>
      </c>
      <c r="C1777">
        <v>0.6000000000000052</v>
      </c>
    </row>
    <row r="1778" spans="1:3" x14ac:dyDescent="0.25">
      <c r="A1778">
        <v>10</v>
      </c>
      <c r="B1778">
        <v>23</v>
      </c>
      <c r="C1778">
        <v>0.6000000000000052</v>
      </c>
    </row>
    <row r="1779" spans="1:3" x14ac:dyDescent="0.25">
      <c r="A1779">
        <v>23</v>
      </c>
      <c r="B1779">
        <v>8</v>
      </c>
      <c r="C1779">
        <v>0.6000000000000052</v>
      </c>
    </row>
    <row r="1780" spans="1:3" x14ac:dyDescent="0.25">
      <c r="A1780">
        <v>23</v>
      </c>
      <c r="B1780">
        <v>10</v>
      </c>
      <c r="C1780">
        <v>0.6000000000000052</v>
      </c>
    </row>
    <row r="1781" spans="1:3" x14ac:dyDescent="0.25">
      <c r="A1781">
        <v>18</v>
      </c>
      <c r="B1781">
        <v>32</v>
      </c>
      <c r="C1781">
        <v>0.60000000000000009</v>
      </c>
    </row>
    <row r="1782" spans="1:3" x14ac:dyDescent="0.25">
      <c r="A1782">
        <v>32</v>
      </c>
      <c r="B1782">
        <v>18</v>
      </c>
      <c r="C1782">
        <v>0.60000000000000009</v>
      </c>
    </row>
    <row r="1783" spans="1:3" x14ac:dyDescent="0.25">
      <c r="A1783">
        <v>18</v>
      </c>
      <c r="B1783">
        <v>19</v>
      </c>
      <c r="C1783">
        <v>0.59999999999999964</v>
      </c>
    </row>
    <row r="1784" spans="1:3" x14ac:dyDescent="0.25">
      <c r="A1784">
        <v>19</v>
      </c>
      <c r="B1784">
        <v>18</v>
      </c>
      <c r="C1784">
        <v>0.59999999999999964</v>
      </c>
    </row>
    <row r="1785" spans="1:3" x14ac:dyDescent="0.25">
      <c r="A1785">
        <v>2</v>
      </c>
      <c r="B1785">
        <v>32</v>
      </c>
      <c r="C1785">
        <v>0.59999999999999831</v>
      </c>
    </row>
    <row r="1786" spans="1:3" x14ac:dyDescent="0.25">
      <c r="A1786">
        <v>32</v>
      </c>
      <c r="B1786">
        <v>2</v>
      </c>
      <c r="C1786">
        <v>0.59999999999999831</v>
      </c>
    </row>
    <row r="1787" spans="1:3" x14ac:dyDescent="0.25">
      <c r="A1787">
        <v>20</v>
      </c>
      <c r="B1787">
        <v>28</v>
      </c>
      <c r="C1787">
        <v>0.59000000000000019</v>
      </c>
    </row>
    <row r="1788" spans="1:3" x14ac:dyDescent="0.25">
      <c r="A1788">
        <v>28</v>
      </c>
      <c r="B1788">
        <v>20</v>
      </c>
      <c r="C1788">
        <v>0.59000000000000019</v>
      </c>
    </row>
    <row r="1789" spans="1:3" x14ac:dyDescent="0.25">
      <c r="A1789">
        <v>8</v>
      </c>
      <c r="B1789">
        <v>43</v>
      </c>
      <c r="C1789">
        <v>0.58000000000001073</v>
      </c>
    </row>
    <row r="1790" spans="1:3" x14ac:dyDescent="0.25">
      <c r="A1790">
        <v>43</v>
      </c>
      <c r="B1790">
        <v>8</v>
      </c>
      <c r="C1790">
        <v>0.58000000000001073</v>
      </c>
    </row>
    <row r="1791" spans="1:3" x14ac:dyDescent="0.25">
      <c r="A1791">
        <v>7</v>
      </c>
      <c r="B1791">
        <v>9</v>
      </c>
      <c r="C1791">
        <v>0.58000000000000795</v>
      </c>
    </row>
    <row r="1792" spans="1:3" x14ac:dyDescent="0.25">
      <c r="A1792">
        <v>9</v>
      </c>
      <c r="B1792">
        <v>7</v>
      </c>
      <c r="C1792">
        <v>0.58000000000000795</v>
      </c>
    </row>
    <row r="1793" spans="1:3" x14ac:dyDescent="0.25">
      <c r="A1793">
        <v>19</v>
      </c>
      <c r="B1793">
        <v>21</v>
      </c>
      <c r="C1793">
        <v>0.57999999999999985</v>
      </c>
    </row>
    <row r="1794" spans="1:3" x14ac:dyDescent="0.25">
      <c r="A1794">
        <v>21</v>
      </c>
      <c r="B1794">
        <v>19</v>
      </c>
      <c r="C1794">
        <v>0.57999999999999985</v>
      </c>
    </row>
    <row r="1795" spans="1:3" x14ac:dyDescent="0.25">
      <c r="A1795">
        <v>27</v>
      </c>
      <c r="B1795">
        <v>48</v>
      </c>
      <c r="C1795">
        <v>0.57999999999999963</v>
      </c>
    </row>
    <row r="1796" spans="1:3" x14ac:dyDescent="0.25">
      <c r="A1796">
        <v>48</v>
      </c>
      <c r="B1796">
        <v>27</v>
      </c>
      <c r="C1796">
        <v>0.57999999999999963</v>
      </c>
    </row>
    <row r="1797" spans="1:3" x14ac:dyDescent="0.25">
      <c r="A1797">
        <v>7</v>
      </c>
      <c r="B1797">
        <v>29</v>
      </c>
      <c r="C1797">
        <v>0.57999999999999652</v>
      </c>
    </row>
    <row r="1798" spans="1:3" x14ac:dyDescent="0.25">
      <c r="A1798">
        <v>29</v>
      </c>
      <c r="B1798">
        <v>7</v>
      </c>
      <c r="C1798">
        <v>0.57999999999999652</v>
      </c>
    </row>
    <row r="1799" spans="1:3" x14ac:dyDescent="0.25">
      <c r="A1799">
        <v>10</v>
      </c>
      <c r="B1799">
        <v>43</v>
      </c>
      <c r="C1799">
        <v>0.5600000000000005</v>
      </c>
    </row>
    <row r="1800" spans="1:3" x14ac:dyDescent="0.25">
      <c r="A1800">
        <v>16</v>
      </c>
      <c r="B1800">
        <v>34</v>
      </c>
      <c r="C1800">
        <v>0.5600000000000005</v>
      </c>
    </row>
    <row r="1801" spans="1:3" x14ac:dyDescent="0.25">
      <c r="A1801">
        <v>34</v>
      </c>
      <c r="B1801">
        <v>16</v>
      </c>
      <c r="C1801">
        <v>0.5600000000000005</v>
      </c>
    </row>
    <row r="1802" spans="1:3" x14ac:dyDescent="0.25">
      <c r="A1802">
        <v>43</v>
      </c>
      <c r="B1802">
        <v>10</v>
      </c>
      <c r="C1802">
        <v>0.5600000000000005</v>
      </c>
    </row>
    <row r="1803" spans="1:3" x14ac:dyDescent="0.25">
      <c r="A1803">
        <v>9</v>
      </c>
      <c r="B1803">
        <v>49</v>
      </c>
      <c r="C1803">
        <v>0.56000000000000039</v>
      </c>
    </row>
    <row r="1804" spans="1:3" x14ac:dyDescent="0.25">
      <c r="A1804">
        <v>49</v>
      </c>
      <c r="B1804">
        <v>9</v>
      </c>
      <c r="C1804">
        <v>0.56000000000000039</v>
      </c>
    </row>
    <row r="1805" spans="1:3" x14ac:dyDescent="0.25">
      <c r="A1805">
        <v>5</v>
      </c>
      <c r="B1805">
        <v>41</v>
      </c>
      <c r="C1805">
        <v>0.56000000000000005</v>
      </c>
    </row>
    <row r="1806" spans="1:3" x14ac:dyDescent="0.25">
      <c r="A1806">
        <v>41</v>
      </c>
      <c r="B1806">
        <v>5</v>
      </c>
      <c r="C1806">
        <v>0.56000000000000005</v>
      </c>
    </row>
    <row r="1807" spans="1:3" x14ac:dyDescent="0.25">
      <c r="A1807">
        <v>26</v>
      </c>
      <c r="B1807">
        <v>35</v>
      </c>
      <c r="C1807">
        <v>0.55999999999999983</v>
      </c>
    </row>
    <row r="1808" spans="1:3" x14ac:dyDescent="0.25">
      <c r="A1808">
        <v>35</v>
      </c>
      <c r="B1808">
        <v>26</v>
      </c>
      <c r="C1808">
        <v>0.55999999999999983</v>
      </c>
    </row>
    <row r="1809" spans="1:3" x14ac:dyDescent="0.25">
      <c r="A1809">
        <v>20</v>
      </c>
      <c r="B1809">
        <v>47</v>
      </c>
      <c r="C1809">
        <v>0.55999999999999905</v>
      </c>
    </row>
    <row r="1810" spans="1:3" x14ac:dyDescent="0.25">
      <c r="A1810">
        <v>47</v>
      </c>
      <c r="B1810">
        <v>20</v>
      </c>
      <c r="C1810">
        <v>0.55999999999999905</v>
      </c>
    </row>
    <row r="1811" spans="1:3" x14ac:dyDescent="0.25">
      <c r="A1811">
        <v>2</v>
      </c>
      <c r="B1811">
        <v>16</v>
      </c>
      <c r="C1811">
        <v>0.55000000000000071</v>
      </c>
    </row>
    <row r="1812" spans="1:3" x14ac:dyDescent="0.25">
      <c r="A1812">
        <v>16</v>
      </c>
      <c r="B1812">
        <v>2</v>
      </c>
      <c r="C1812">
        <v>0.55000000000000071</v>
      </c>
    </row>
    <row r="1813" spans="1:3" x14ac:dyDescent="0.25">
      <c r="A1813">
        <v>36</v>
      </c>
      <c r="B1813">
        <v>46</v>
      </c>
      <c r="C1813">
        <v>0.55000000000000027</v>
      </c>
    </row>
    <row r="1814" spans="1:3" x14ac:dyDescent="0.25">
      <c r="A1814">
        <v>46</v>
      </c>
      <c r="B1814">
        <v>36</v>
      </c>
      <c r="C1814">
        <v>0.55000000000000027</v>
      </c>
    </row>
    <row r="1815" spans="1:3" x14ac:dyDescent="0.25">
      <c r="A1815">
        <v>20</v>
      </c>
      <c r="B1815">
        <v>21</v>
      </c>
      <c r="C1815">
        <v>0.55000000000000004</v>
      </c>
    </row>
    <row r="1816" spans="1:3" x14ac:dyDescent="0.25">
      <c r="A1816">
        <v>21</v>
      </c>
      <c r="B1816">
        <v>20</v>
      </c>
      <c r="C1816">
        <v>0.55000000000000004</v>
      </c>
    </row>
    <row r="1817" spans="1:3" x14ac:dyDescent="0.25">
      <c r="A1817">
        <v>37</v>
      </c>
      <c r="B1817">
        <v>44</v>
      </c>
      <c r="C1817">
        <v>0.55000000000000004</v>
      </c>
    </row>
    <row r="1818" spans="1:3" x14ac:dyDescent="0.25">
      <c r="A1818">
        <v>44</v>
      </c>
      <c r="B1818">
        <v>37</v>
      </c>
      <c r="C1818">
        <v>0.55000000000000004</v>
      </c>
    </row>
    <row r="1819" spans="1:3" x14ac:dyDescent="0.25">
      <c r="A1819">
        <v>43</v>
      </c>
      <c r="B1819">
        <v>45</v>
      </c>
      <c r="C1819">
        <v>0.53999999999999959</v>
      </c>
    </row>
    <row r="1820" spans="1:3" x14ac:dyDescent="0.25">
      <c r="A1820">
        <v>45</v>
      </c>
      <c r="B1820">
        <v>43</v>
      </c>
      <c r="C1820">
        <v>0.53999999999999959</v>
      </c>
    </row>
    <row r="1821" spans="1:3" x14ac:dyDescent="0.25">
      <c r="A1821">
        <v>20</v>
      </c>
      <c r="B1821">
        <v>48</v>
      </c>
      <c r="C1821">
        <v>0.53999999999999948</v>
      </c>
    </row>
    <row r="1822" spans="1:3" x14ac:dyDescent="0.25">
      <c r="A1822">
        <v>48</v>
      </c>
      <c r="B1822">
        <v>20</v>
      </c>
      <c r="C1822">
        <v>0.53999999999999948</v>
      </c>
    </row>
    <row r="1823" spans="1:3" x14ac:dyDescent="0.25">
      <c r="A1823">
        <v>16</v>
      </c>
      <c r="B1823">
        <v>26</v>
      </c>
      <c r="C1823">
        <v>0.53000000000000047</v>
      </c>
    </row>
    <row r="1824" spans="1:3" x14ac:dyDescent="0.25">
      <c r="A1824">
        <v>26</v>
      </c>
      <c r="B1824">
        <v>16</v>
      </c>
      <c r="C1824">
        <v>0.53000000000000047</v>
      </c>
    </row>
    <row r="1825" spans="1:3" x14ac:dyDescent="0.25">
      <c r="A1825">
        <v>27</v>
      </c>
      <c r="B1825">
        <v>30</v>
      </c>
      <c r="C1825">
        <v>0.53000000000000025</v>
      </c>
    </row>
    <row r="1826" spans="1:3" x14ac:dyDescent="0.25">
      <c r="A1826">
        <v>30</v>
      </c>
      <c r="B1826">
        <v>27</v>
      </c>
      <c r="C1826">
        <v>0.53000000000000025</v>
      </c>
    </row>
    <row r="1827" spans="1:3" x14ac:dyDescent="0.25">
      <c r="A1827">
        <v>20</v>
      </c>
      <c r="B1827">
        <v>25</v>
      </c>
      <c r="C1827">
        <v>0.52999999999999969</v>
      </c>
    </row>
    <row r="1828" spans="1:3" x14ac:dyDescent="0.25">
      <c r="A1828">
        <v>25</v>
      </c>
      <c r="B1828">
        <v>20</v>
      </c>
      <c r="C1828">
        <v>0.52999999999999969</v>
      </c>
    </row>
    <row r="1829" spans="1:3" x14ac:dyDescent="0.25">
      <c r="A1829">
        <v>28</v>
      </c>
      <c r="B1829">
        <v>32</v>
      </c>
      <c r="C1829">
        <v>0.52999999999999803</v>
      </c>
    </row>
    <row r="1830" spans="1:3" x14ac:dyDescent="0.25">
      <c r="A1830">
        <v>32</v>
      </c>
      <c r="B1830">
        <v>28</v>
      </c>
      <c r="C1830">
        <v>0.52999999999999803</v>
      </c>
    </row>
    <row r="1831" spans="1:3" x14ac:dyDescent="0.25">
      <c r="A1831">
        <v>44</v>
      </c>
      <c r="B1831">
        <v>50</v>
      </c>
      <c r="C1831">
        <v>0.51999999999999713</v>
      </c>
    </row>
    <row r="1832" spans="1:3" x14ac:dyDescent="0.25">
      <c r="A1832">
        <v>50</v>
      </c>
      <c r="B1832">
        <v>44</v>
      </c>
      <c r="C1832">
        <v>0.51999999999999713</v>
      </c>
    </row>
    <row r="1833" spans="1:3" x14ac:dyDescent="0.25">
      <c r="A1833">
        <v>3</v>
      </c>
      <c r="B1833">
        <v>44</v>
      </c>
      <c r="C1833">
        <v>0.51000000000000623</v>
      </c>
    </row>
    <row r="1834" spans="1:3" x14ac:dyDescent="0.25">
      <c r="A1834">
        <v>44</v>
      </c>
      <c r="B1834">
        <v>3</v>
      </c>
      <c r="C1834">
        <v>0.51000000000000623</v>
      </c>
    </row>
    <row r="1835" spans="1:3" x14ac:dyDescent="0.25">
      <c r="A1835">
        <v>17</v>
      </c>
      <c r="B1835">
        <v>20</v>
      </c>
      <c r="C1835">
        <v>0.51000000000000012</v>
      </c>
    </row>
    <row r="1836" spans="1:3" x14ac:dyDescent="0.25">
      <c r="A1836">
        <v>20</v>
      </c>
      <c r="B1836">
        <v>17</v>
      </c>
      <c r="C1836">
        <v>0.51000000000000012</v>
      </c>
    </row>
    <row r="1837" spans="1:3" x14ac:dyDescent="0.25">
      <c r="A1837">
        <v>26</v>
      </c>
      <c r="B1837">
        <v>39</v>
      </c>
      <c r="C1837">
        <v>0.51</v>
      </c>
    </row>
    <row r="1838" spans="1:3" x14ac:dyDescent="0.25">
      <c r="A1838">
        <v>39</v>
      </c>
      <c r="B1838">
        <v>26</v>
      </c>
      <c r="C1838">
        <v>0.51</v>
      </c>
    </row>
    <row r="1839" spans="1:3" x14ac:dyDescent="0.25">
      <c r="A1839">
        <v>8</v>
      </c>
      <c r="B1839">
        <v>36</v>
      </c>
      <c r="C1839">
        <v>0.50999999999999845</v>
      </c>
    </row>
    <row r="1840" spans="1:3" x14ac:dyDescent="0.25">
      <c r="A1840">
        <v>10</v>
      </c>
      <c r="B1840">
        <v>36</v>
      </c>
      <c r="C1840">
        <v>0.50999999999999845</v>
      </c>
    </row>
    <row r="1841" spans="1:3" x14ac:dyDescent="0.25">
      <c r="A1841">
        <v>36</v>
      </c>
      <c r="B1841">
        <v>8</v>
      </c>
      <c r="C1841">
        <v>0.50999999999999845</v>
      </c>
    </row>
    <row r="1842" spans="1:3" x14ac:dyDescent="0.25">
      <c r="A1842">
        <v>36</v>
      </c>
      <c r="B1842">
        <v>10</v>
      </c>
      <c r="C1842">
        <v>0.50999999999999845</v>
      </c>
    </row>
    <row r="1843" spans="1:3" x14ac:dyDescent="0.25">
      <c r="A1843">
        <v>6</v>
      </c>
      <c r="B1843">
        <v>18</v>
      </c>
      <c r="C1843">
        <v>0.50000000000000533</v>
      </c>
    </row>
    <row r="1844" spans="1:3" x14ac:dyDescent="0.25">
      <c r="A1844">
        <v>18</v>
      </c>
      <c r="B1844">
        <v>6</v>
      </c>
      <c r="C1844">
        <v>0.50000000000000533</v>
      </c>
    </row>
    <row r="1845" spans="1:3" x14ac:dyDescent="0.25">
      <c r="A1845">
        <v>21</v>
      </c>
      <c r="B1845">
        <v>24</v>
      </c>
      <c r="C1845">
        <v>0.50000000000000022</v>
      </c>
    </row>
    <row r="1846" spans="1:3" x14ac:dyDescent="0.25">
      <c r="A1846">
        <v>24</v>
      </c>
      <c r="B1846">
        <v>21</v>
      </c>
      <c r="C1846">
        <v>0.50000000000000022</v>
      </c>
    </row>
    <row r="1847" spans="1:3" x14ac:dyDescent="0.25">
      <c r="A1847">
        <v>26</v>
      </c>
      <c r="B1847">
        <v>34</v>
      </c>
      <c r="C1847">
        <v>0.50000000000000022</v>
      </c>
    </row>
    <row r="1848" spans="1:3" x14ac:dyDescent="0.25">
      <c r="A1848">
        <v>34</v>
      </c>
      <c r="B1848">
        <v>26</v>
      </c>
      <c r="C1848">
        <v>0.50000000000000022</v>
      </c>
    </row>
    <row r="1849" spans="1:3" x14ac:dyDescent="0.25">
      <c r="A1849">
        <v>7</v>
      </c>
      <c r="B1849">
        <v>22</v>
      </c>
      <c r="C1849">
        <v>0.49000000000000066</v>
      </c>
    </row>
    <row r="1850" spans="1:3" x14ac:dyDescent="0.25">
      <c r="A1850">
        <v>22</v>
      </c>
      <c r="B1850">
        <v>7</v>
      </c>
      <c r="C1850">
        <v>0.49000000000000066</v>
      </c>
    </row>
    <row r="1851" spans="1:3" x14ac:dyDescent="0.25">
      <c r="A1851">
        <v>44</v>
      </c>
      <c r="B1851">
        <v>48</v>
      </c>
      <c r="C1851">
        <v>0.48999999999999955</v>
      </c>
    </row>
    <row r="1852" spans="1:3" x14ac:dyDescent="0.25">
      <c r="A1852">
        <v>48</v>
      </c>
      <c r="B1852">
        <v>44</v>
      </c>
      <c r="C1852">
        <v>0.48999999999999955</v>
      </c>
    </row>
    <row r="1853" spans="1:3" x14ac:dyDescent="0.25">
      <c r="A1853">
        <v>25</v>
      </c>
      <c r="B1853">
        <v>45</v>
      </c>
      <c r="C1853">
        <v>0.48999999999999932</v>
      </c>
    </row>
    <row r="1854" spans="1:3" x14ac:dyDescent="0.25">
      <c r="A1854">
        <v>45</v>
      </c>
      <c r="B1854">
        <v>25</v>
      </c>
      <c r="C1854">
        <v>0.48999999999999932</v>
      </c>
    </row>
    <row r="1855" spans="1:3" x14ac:dyDescent="0.25">
      <c r="A1855">
        <v>17</v>
      </c>
      <c r="B1855">
        <v>45</v>
      </c>
      <c r="C1855">
        <v>0.48</v>
      </c>
    </row>
    <row r="1856" spans="1:3" x14ac:dyDescent="0.25">
      <c r="A1856">
        <v>32</v>
      </c>
      <c r="B1856">
        <v>35</v>
      </c>
      <c r="C1856">
        <v>0.48</v>
      </c>
    </row>
    <row r="1857" spans="1:3" x14ac:dyDescent="0.25">
      <c r="A1857">
        <v>32</v>
      </c>
      <c r="B1857">
        <v>39</v>
      </c>
      <c r="C1857">
        <v>0.48</v>
      </c>
    </row>
    <row r="1858" spans="1:3" x14ac:dyDescent="0.25">
      <c r="A1858">
        <v>35</v>
      </c>
      <c r="B1858">
        <v>32</v>
      </c>
      <c r="C1858">
        <v>0.48</v>
      </c>
    </row>
    <row r="1859" spans="1:3" x14ac:dyDescent="0.25">
      <c r="A1859">
        <v>39</v>
      </c>
      <c r="B1859">
        <v>32</v>
      </c>
      <c r="C1859">
        <v>0.48</v>
      </c>
    </row>
    <row r="1860" spans="1:3" x14ac:dyDescent="0.25">
      <c r="A1860">
        <v>45</v>
      </c>
      <c r="B1860">
        <v>17</v>
      </c>
      <c r="C1860">
        <v>0.48</v>
      </c>
    </row>
    <row r="1861" spans="1:3" x14ac:dyDescent="0.25">
      <c r="A1861">
        <v>9</v>
      </c>
      <c r="B1861">
        <v>42</v>
      </c>
      <c r="C1861">
        <v>0.47999999999999987</v>
      </c>
    </row>
    <row r="1862" spans="1:3" x14ac:dyDescent="0.25">
      <c r="A1862">
        <v>42</v>
      </c>
      <c r="B1862">
        <v>9</v>
      </c>
      <c r="C1862">
        <v>0.47999999999999987</v>
      </c>
    </row>
    <row r="1863" spans="1:3" x14ac:dyDescent="0.25">
      <c r="A1863">
        <v>27</v>
      </c>
      <c r="B1863">
        <v>38</v>
      </c>
      <c r="C1863">
        <v>0.47999999999999954</v>
      </c>
    </row>
    <row r="1864" spans="1:3" x14ac:dyDescent="0.25">
      <c r="A1864">
        <v>38</v>
      </c>
      <c r="B1864">
        <v>27</v>
      </c>
      <c r="C1864">
        <v>0.47999999999999954</v>
      </c>
    </row>
    <row r="1865" spans="1:3" x14ac:dyDescent="0.25">
      <c r="A1865">
        <v>32</v>
      </c>
      <c r="B1865">
        <v>47</v>
      </c>
      <c r="C1865">
        <v>0.46999999999999931</v>
      </c>
    </row>
    <row r="1866" spans="1:3" x14ac:dyDescent="0.25">
      <c r="A1866">
        <v>47</v>
      </c>
      <c r="B1866">
        <v>32</v>
      </c>
      <c r="C1866">
        <v>0.46999999999999931</v>
      </c>
    </row>
    <row r="1867" spans="1:3" x14ac:dyDescent="0.25">
      <c r="A1867">
        <v>13</v>
      </c>
      <c r="B1867">
        <v>14</v>
      </c>
      <c r="C1867">
        <v>0.46999999999999886</v>
      </c>
    </row>
    <row r="1868" spans="1:3" x14ac:dyDescent="0.25">
      <c r="A1868">
        <v>14</v>
      </c>
      <c r="B1868">
        <v>13</v>
      </c>
      <c r="C1868">
        <v>0.46999999999999886</v>
      </c>
    </row>
    <row r="1869" spans="1:3" x14ac:dyDescent="0.25">
      <c r="A1869">
        <v>15</v>
      </c>
      <c r="B1869">
        <v>17</v>
      </c>
      <c r="C1869">
        <v>0.46000000000000085</v>
      </c>
    </row>
    <row r="1870" spans="1:3" x14ac:dyDescent="0.25">
      <c r="A1870">
        <v>17</v>
      </c>
      <c r="B1870">
        <v>15</v>
      </c>
      <c r="C1870">
        <v>0.46000000000000085</v>
      </c>
    </row>
    <row r="1871" spans="1:3" x14ac:dyDescent="0.25">
      <c r="A1871">
        <v>23</v>
      </c>
      <c r="B1871">
        <v>27</v>
      </c>
      <c r="C1871">
        <v>0.45999999999999974</v>
      </c>
    </row>
    <row r="1872" spans="1:3" x14ac:dyDescent="0.25">
      <c r="A1872">
        <v>27</v>
      </c>
      <c r="B1872">
        <v>23</v>
      </c>
      <c r="C1872">
        <v>0.45999999999999974</v>
      </c>
    </row>
    <row r="1873" spans="1:3" x14ac:dyDescent="0.25">
      <c r="A1873">
        <v>16</v>
      </c>
      <c r="B1873">
        <v>18</v>
      </c>
      <c r="C1873">
        <v>0.45000000000000107</v>
      </c>
    </row>
    <row r="1874" spans="1:3" x14ac:dyDescent="0.25">
      <c r="A1874">
        <v>18</v>
      </c>
      <c r="B1874">
        <v>16</v>
      </c>
      <c r="C1874">
        <v>0.45000000000000107</v>
      </c>
    </row>
    <row r="1875" spans="1:3" x14ac:dyDescent="0.25">
      <c r="A1875">
        <v>26</v>
      </c>
      <c r="B1875">
        <v>30</v>
      </c>
      <c r="C1875">
        <v>0.44999999999999996</v>
      </c>
    </row>
    <row r="1876" spans="1:3" x14ac:dyDescent="0.25">
      <c r="A1876">
        <v>30</v>
      </c>
      <c r="B1876">
        <v>26</v>
      </c>
      <c r="C1876">
        <v>0.44999999999999996</v>
      </c>
    </row>
    <row r="1877" spans="1:3" x14ac:dyDescent="0.25">
      <c r="A1877">
        <v>13</v>
      </c>
      <c r="B1877">
        <v>19</v>
      </c>
      <c r="C1877">
        <v>0.44999999999999929</v>
      </c>
    </row>
    <row r="1878" spans="1:3" x14ac:dyDescent="0.25">
      <c r="A1878">
        <v>19</v>
      </c>
      <c r="B1878">
        <v>13</v>
      </c>
      <c r="C1878">
        <v>0.44999999999999929</v>
      </c>
    </row>
    <row r="1879" spans="1:3" x14ac:dyDescent="0.25">
      <c r="A1879">
        <v>19</v>
      </c>
      <c r="B1879">
        <v>37</v>
      </c>
      <c r="C1879">
        <v>0.4399999999999995</v>
      </c>
    </row>
    <row r="1880" spans="1:3" x14ac:dyDescent="0.25">
      <c r="A1880">
        <v>37</v>
      </c>
      <c r="B1880">
        <v>19</v>
      </c>
      <c r="C1880">
        <v>0.4399999999999995</v>
      </c>
    </row>
    <row r="1881" spans="1:3" x14ac:dyDescent="0.25">
      <c r="A1881">
        <v>11</v>
      </c>
      <c r="B1881">
        <v>30</v>
      </c>
      <c r="C1881">
        <v>0.43999999999999906</v>
      </c>
    </row>
    <row r="1882" spans="1:3" x14ac:dyDescent="0.25">
      <c r="A1882">
        <v>30</v>
      </c>
      <c r="B1882">
        <v>11</v>
      </c>
      <c r="C1882">
        <v>0.43999999999999906</v>
      </c>
    </row>
    <row r="1883" spans="1:3" x14ac:dyDescent="0.25">
      <c r="A1883">
        <v>11</v>
      </c>
      <c r="B1883">
        <v>34</v>
      </c>
      <c r="C1883">
        <v>0.43999999999999329</v>
      </c>
    </row>
    <row r="1884" spans="1:3" x14ac:dyDescent="0.25">
      <c r="A1884">
        <v>34</v>
      </c>
      <c r="B1884">
        <v>11</v>
      </c>
      <c r="C1884">
        <v>0.43999999999999329</v>
      </c>
    </row>
    <row r="1885" spans="1:3" x14ac:dyDescent="0.25">
      <c r="A1885">
        <v>7</v>
      </c>
      <c r="B1885">
        <v>44</v>
      </c>
      <c r="C1885">
        <v>0.43000000000000793</v>
      </c>
    </row>
    <row r="1886" spans="1:3" x14ac:dyDescent="0.25">
      <c r="A1886">
        <v>44</v>
      </c>
      <c r="B1886">
        <v>7</v>
      </c>
      <c r="C1886">
        <v>0.43000000000000793</v>
      </c>
    </row>
    <row r="1887" spans="1:3" x14ac:dyDescent="0.25">
      <c r="A1887">
        <v>46</v>
      </c>
      <c r="B1887">
        <v>47</v>
      </c>
      <c r="C1887">
        <v>0.4300000000000006</v>
      </c>
    </row>
    <row r="1888" spans="1:3" x14ac:dyDescent="0.25">
      <c r="A1888">
        <v>47</v>
      </c>
      <c r="B1888">
        <v>46</v>
      </c>
      <c r="C1888">
        <v>0.4300000000000006</v>
      </c>
    </row>
    <row r="1889" spans="1:3" x14ac:dyDescent="0.25">
      <c r="A1889">
        <v>16</v>
      </c>
      <c r="B1889">
        <v>28</v>
      </c>
      <c r="C1889">
        <v>0.42999999999999972</v>
      </c>
    </row>
    <row r="1890" spans="1:3" x14ac:dyDescent="0.25">
      <c r="A1890">
        <v>28</v>
      </c>
      <c r="B1890">
        <v>16</v>
      </c>
      <c r="C1890">
        <v>0.42999999999999972</v>
      </c>
    </row>
    <row r="1891" spans="1:3" x14ac:dyDescent="0.25">
      <c r="A1891">
        <v>14</v>
      </c>
      <c r="B1891">
        <v>15</v>
      </c>
      <c r="C1891">
        <v>0.42999999999999794</v>
      </c>
    </row>
    <row r="1892" spans="1:3" x14ac:dyDescent="0.25">
      <c r="A1892">
        <v>15</v>
      </c>
      <c r="B1892">
        <v>14</v>
      </c>
      <c r="C1892">
        <v>0.42999999999999794</v>
      </c>
    </row>
    <row r="1893" spans="1:3" x14ac:dyDescent="0.25">
      <c r="A1893">
        <v>5</v>
      </c>
      <c r="B1893">
        <v>21</v>
      </c>
      <c r="C1893">
        <v>0.4200000000000006</v>
      </c>
    </row>
    <row r="1894" spans="1:3" x14ac:dyDescent="0.25">
      <c r="A1894">
        <v>21</v>
      </c>
      <c r="B1894">
        <v>5</v>
      </c>
      <c r="C1894">
        <v>0.4200000000000006</v>
      </c>
    </row>
    <row r="1895" spans="1:3" x14ac:dyDescent="0.25">
      <c r="A1895">
        <v>30</v>
      </c>
      <c r="B1895">
        <v>32</v>
      </c>
      <c r="C1895">
        <v>0.41000000000000014</v>
      </c>
    </row>
    <row r="1896" spans="1:3" x14ac:dyDescent="0.25">
      <c r="A1896">
        <v>32</v>
      </c>
      <c r="B1896">
        <v>30</v>
      </c>
      <c r="C1896">
        <v>0.41000000000000014</v>
      </c>
    </row>
    <row r="1897" spans="1:3" x14ac:dyDescent="0.25">
      <c r="A1897">
        <v>21</v>
      </c>
      <c r="B1897">
        <v>39</v>
      </c>
      <c r="C1897">
        <v>0.40999999999999992</v>
      </c>
    </row>
    <row r="1898" spans="1:3" x14ac:dyDescent="0.25">
      <c r="A1898">
        <v>39</v>
      </c>
      <c r="B1898">
        <v>21</v>
      </c>
      <c r="C1898">
        <v>0.40999999999999992</v>
      </c>
    </row>
    <row r="1899" spans="1:3" x14ac:dyDescent="0.25">
      <c r="A1899">
        <v>4</v>
      </c>
      <c r="B1899">
        <v>25</v>
      </c>
      <c r="C1899">
        <v>0.40999999999999526</v>
      </c>
    </row>
    <row r="1900" spans="1:3" x14ac:dyDescent="0.25">
      <c r="A1900">
        <v>25</v>
      </c>
      <c r="B1900">
        <v>4</v>
      </c>
      <c r="C1900">
        <v>0.40999999999999526</v>
      </c>
    </row>
    <row r="1901" spans="1:3" x14ac:dyDescent="0.25">
      <c r="A1901">
        <v>17</v>
      </c>
      <c r="B1901">
        <v>31</v>
      </c>
      <c r="C1901">
        <v>0.40000000000000036</v>
      </c>
    </row>
    <row r="1902" spans="1:3" x14ac:dyDescent="0.25">
      <c r="A1902">
        <v>31</v>
      </c>
      <c r="B1902">
        <v>17</v>
      </c>
      <c r="C1902">
        <v>0.40000000000000036</v>
      </c>
    </row>
    <row r="1903" spans="1:3" x14ac:dyDescent="0.25">
      <c r="A1903">
        <v>21</v>
      </c>
      <c r="B1903">
        <v>35</v>
      </c>
      <c r="C1903">
        <v>0.40000000000000013</v>
      </c>
    </row>
    <row r="1904" spans="1:3" x14ac:dyDescent="0.25">
      <c r="A1904">
        <v>35</v>
      </c>
      <c r="B1904">
        <v>21</v>
      </c>
      <c r="C1904">
        <v>0.40000000000000013</v>
      </c>
    </row>
    <row r="1905" spans="1:3" x14ac:dyDescent="0.25">
      <c r="A1905">
        <v>32</v>
      </c>
      <c r="B1905">
        <v>48</v>
      </c>
      <c r="C1905">
        <v>0.39999999999999991</v>
      </c>
    </row>
    <row r="1906" spans="1:3" x14ac:dyDescent="0.25">
      <c r="A1906">
        <v>48</v>
      </c>
      <c r="B1906">
        <v>32</v>
      </c>
      <c r="C1906">
        <v>0.39999999999999991</v>
      </c>
    </row>
    <row r="1907" spans="1:3" x14ac:dyDescent="0.25">
      <c r="A1907">
        <v>28</v>
      </c>
      <c r="B1907">
        <v>46</v>
      </c>
      <c r="C1907">
        <v>0.39999999999999947</v>
      </c>
    </row>
    <row r="1908" spans="1:3" x14ac:dyDescent="0.25">
      <c r="A1908">
        <v>46</v>
      </c>
      <c r="B1908">
        <v>28</v>
      </c>
      <c r="C1908">
        <v>0.39999999999999947</v>
      </c>
    </row>
    <row r="1909" spans="1:3" x14ac:dyDescent="0.25">
      <c r="A1909">
        <v>3</v>
      </c>
      <c r="B1909">
        <v>14</v>
      </c>
      <c r="C1909">
        <v>0.39999999999999858</v>
      </c>
    </row>
    <row r="1910" spans="1:3" x14ac:dyDescent="0.25">
      <c r="A1910">
        <v>14</v>
      </c>
      <c r="B1910">
        <v>3</v>
      </c>
      <c r="C1910">
        <v>0.39999999999999858</v>
      </c>
    </row>
    <row r="1911" spans="1:3" x14ac:dyDescent="0.25">
      <c r="A1911">
        <v>21</v>
      </c>
      <c r="B1911">
        <v>30</v>
      </c>
      <c r="C1911">
        <v>0.39000000000000035</v>
      </c>
    </row>
    <row r="1912" spans="1:3" x14ac:dyDescent="0.25">
      <c r="A1912">
        <v>30</v>
      </c>
      <c r="B1912">
        <v>21</v>
      </c>
      <c r="C1912">
        <v>0.39000000000000035</v>
      </c>
    </row>
    <row r="1913" spans="1:3" x14ac:dyDescent="0.25">
      <c r="A1913">
        <v>17</v>
      </c>
      <c r="B1913">
        <v>22</v>
      </c>
      <c r="C1913">
        <v>0.39000000000000012</v>
      </c>
    </row>
    <row r="1914" spans="1:3" x14ac:dyDescent="0.25">
      <c r="A1914">
        <v>22</v>
      </c>
      <c r="B1914">
        <v>17</v>
      </c>
      <c r="C1914">
        <v>0.39000000000000012</v>
      </c>
    </row>
    <row r="1915" spans="1:3" x14ac:dyDescent="0.25">
      <c r="A1915">
        <v>21</v>
      </c>
      <c r="B1915">
        <v>45</v>
      </c>
      <c r="C1915">
        <v>0.3899999999999999</v>
      </c>
    </row>
    <row r="1916" spans="1:3" x14ac:dyDescent="0.25">
      <c r="A1916">
        <v>45</v>
      </c>
      <c r="B1916">
        <v>21</v>
      </c>
      <c r="C1916">
        <v>0.3899999999999999</v>
      </c>
    </row>
    <row r="1917" spans="1:3" x14ac:dyDescent="0.25">
      <c r="A1917">
        <v>8</v>
      </c>
      <c r="B1917">
        <v>31</v>
      </c>
      <c r="C1917">
        <v>0.38000000000000433</v>
      </c>
    </row>
    <row r="1918" spans="1:3" x14ac:dyDescent="0.25">
      <c r="A1918">
        <v>10</v>
      </c>
      <c r="B1918">
        <v>31</v>
      </c>
      <c r="C1918">
        <v>0.38000000000000433</v>
      </c>
    </row>
    <row r="1919" spans="1:3" x14ac:dyDescent="0.25">
      <c r="A1919">
        <v>31</v>
      </c>
      <c r="B1919">
        <v>8</v>
      </c>
      <c r="C1919">
        <v>0.38000000000000433</v>
      </c>
    </row>
    <row r="1920" spans="1:3" x14ac:dyDescent="0.25">
      <c r="A1920">
        <v>31</v>
      </c>
      <c r="B1920">
        <v>10</v>
      </c>
      <c r="C1920">
        <v>0.38000000000000433</v>
      </c>
    </row>
    <row r="1921" spans="1:3" x14ac:dyDescent="0.25">
      <c r="A1921">
        <v>11</v>
      </c>
      <c r="B1921">
        <v>17</v>
      </c>
      <c r="C1921">
        <v>0.38000000000000078</v>
      </c>
    </row>
    <row r="1922" spans="1:3" x14ac:dyDescent="0.25">
      <c r="A1922">
        <v>17</v>
      </c>
      <c r="B1922">
        <v>11</v>
      </c>
      <c r="C1922">
        <v>0.38000000000000078</v>
      </c>
    </row>
    <row r="1923" spans="1:3" x14ac:dyDescent="0.25">
      <c r="A1923">
        <v>21</v>
      </c>
      <c r="B1923">
        <v>23</v>
      </c>
      <c r="C1923">
        <v>0.38000000000000012</v>
      </c>
    </row>
    <row r="1924" spans="1:3" x14ac:dyDescent="0.25">
      <c r="A1924">
        <v>23</v>
      </c>
      <c r="B1924">
        <v>21</v>
      </c>
      <c r="C1924">
        <v>0.38000000000000012</v>
      </c>
    </row>
    <row r="1925" spans="1:3" x14ac:dyDescent="0.25">
      <c r="A1925">
        <v>23</v>
      </c>
      <c r="B1925">
        <v>32</v>
      </c>
      <c r="C1925">
        <v>0.38000000000000012</v>
      </c>
    </row>
    <row r="1926" spans="1:3" x14ac:dyDescent="0.25">
      <c r="A1926">
        <v>32</v>
      </c>
      <c r="B1926">
        <v>23</v>
      </c>
      <c r="C1926">
        <v>0.38000000000000012</v>
      </c>
    </row>
    <row r="1927" spans="1:3" x14ac:dyDescent="0.25">
      <c r="A1927">
        <v>23</v>
      </c>
      <c r="B1927">
        <v>26</v>
      </c>
      <c r="C1927">
        <v>0.37999999999999989</v>
      </c>
    </row>
    <row r="1928" spans="1:3" x14ac:dyDescent="0.25">
      <c r="A1928">
        <v>26</v>
      </c>
      <c r="B1928">
        <v>23</v>
      </c>
      <c r="C1928">
        <v>0.37999999999999989</v>
      </c>
    </row>
    <row r="1929" spans="1:3" x14ac:dyDescent="0.25">
      <c r="A1929">
        <v>27</v>
      </c>
      <c r="B1929">
        <v>41</v>
      </c>
      <c r="C1929">
        <v>0.37999999999999989</v>
      </c>
    </row>
    <row r="1930" spans="1:3" x14ac:dyDescent="0.25">
      <c r="A1930">
        <v>41</v>
      </c>
      <c r="B1930">
        <v>27</v>
      </c>
      <c r="C1930">
        <v>0.37999999999999989</v>
      </c>
    </row>
    <row r="1931" spans="1:3" x14ac:dyDescent="0.25">
      <c r="A1931">
        <v>11</v>
      </c>
      <c r="B1931">
        <v>25</v>
      </c>
      <c r="C1931">
        <v>0.37999999999999412</v>
      </c>
    </row>
    <row r="1932" spans="1:3" x14ac:dyDescent="0.25">
      <c r="A1932">
        <v>25</v>
      </c>
      <c r="B1932">
        <v>11</v>
      </c>
      <c r="C1932">
        <v>0.37999999999999412</v>
      </c>
    </row>
    <row r="1933" spans="1:3" x14ac:dyDescent="0.25">
      <c r="A1933">
        <v>44</v>
      </c>
      <c r="B1933">
        <v>49</v>
      </c>
      <c r="C1933">
        <v>0.37000000000000033</v>
      </c>
    </row>
    <row r="1934" spans="1:3" x14ac:dyDescent="0.25">
      <c r="A1934">
        <v>49</v>
      </c>
      <c r="B1934">
        <v>44</v>
      </c>
      <c r="C1934">
        <v>0.37000000000000033</v>
      </c>
    </row>
    <row r="1935" spans="1:3" x14ac:dyDescent="0.25">
      <c r="A1935">
        <v>5</v>
      </c>
      <c r="B1935">
        <v>38</v>
      </c>
      <c r="C1935">
        <v>0.36999999999999789</v>
      </c>
    </row>
    <row r="1936" spans="1:3" x14ac:dyDescent="0.25">
      <c r="A1936">
        <v>38</v>
      </c>
      <c r="B1936">
        <v>5</v>
      </c>
      <c r="C1936">
        <v>0.36999999999999789</v>
      </c>
    </row>
    <row r="1937" spans="1:3" x14ac:dyDescent="0.25">
      <c r="A1937">
        <v>6</v>
      </c>
      <c r="B1937">
        <v>13</v>
      </c>
      <c r="C1937">
        <v>0.36999999999999744</v>
      </c>
    </row>
    <row r="1938" spans="1:3" x14ac:dyDescent="0.25">
      <c r="A1938">
        <v>13</v>
      </c>
      <c r="B1938">
        <v>6</v>
      </c>
      <c r="C1938">
        <v>0.36999999999999744</v>
      </c>
    </row>
    <row r="1939" spans="1:3" x14ac:dyDescent="0.25">
      <c r="A1939">
        <v>15</v>
      </c>
      <c r="B1939">
        <v>33</v>
      </c>
      <c r="C1939">
        <v>0.36000000000000032</v>
      </c>
    </row>
    <row r="1940" spans="1:3" x14ac:dyDescent="0.25">
      <c r="A1940">
        <v>32</v>
      </c>
      <c r="B1940">
        <v>38</v>
      </c>
      <c r="C1940">
        <v>0.36000000000000032</v>
      </c>
    </row>
    <row r="1941" spans="1:3" x14ac:dyDescent="0.25">
      <c r="A1941">
        <v>33</v>
      </c>
      <c r="B1941">
        <v>15</v>
      </c>
      <c r="C1941">
        <v>0.36000000000000032</v>
      </c>
    </row>
    <row r="1942" spans="1:3" x14ac:dyDescent="0.25">
      <c r="A1942">
        <v>38</v>
      </c>
      <c r="B1942">
        <v>32</v>
      </c>
      <c r="C1942">
        <v>0.36000000000000032</v>
      </c>
    </row>
    <row r="1943" spans="1:3" x14ac:dyDescent="0.25">
      <c r="A1943">
        <v>7</v>
      </c>
      <c r="B1943">
        <v>42</v>
      </c>
      <c r="C1943">
        <v>0.35999999999999943</v>
      </c>
    </row>
    <row r="1944" spans="1:3" x14ac:dyDescent="0.25">
      <c r="A1944">
        <v>42</v>
      </c>
      <c r="B1944">
        <v>7</v>
      </c>
      <c r="C1944">
        <v>0.35999999999999943</v>
      </c>
    </row>
    <row r="1945" spans="1:3" x14ac:dyDescent="0.25">
      <c r="A1945">
        <v>14</v>
      </c>
      <c r="B1945">
        <v>31</v>
      </c>
      <c r="C1945">
        <v>0.3599999999999941</v>
      </c>
    </row>
    <row r="1946" spans="1:3" x14ac:dyDescent="0.25">
      <c r="A1946">
        <v>31</v>
      </c>
      <c r="B1946">
        <v>14</v>
      </c>
      <c r="C1946">
        <v>0.3599999999999941</v>
      </c>
    </row>
    <row r="1947" spans="1:3" x14ac:dyDescent="0.25">
      <c r="A1947">
        <v>9</v>
      </c>
      <c r="B1947">
        <v>20</v>
      </c>
      <c r="C1947">
        <v>0.35000000000000009</v>
      </c>
    </row>
    <row r="1948" spans="1:3" x14ac:dyDescent="0.25">
      <c r="A1948">
        <v>20</v>
      </c>
      <c r="B1948">
        <v>9</v>
      </c>
      <c r="C1948">
        <v>0.35000000000000009</v>
      </c>
    </row>
    <row r="1949" spans="1:3" x14ac:dyDescent="0.25">
      <c r="A1949">
        <v>21</v>
      </c>
      <c r="B1949">
        <v>38</v>
      </c>
      <c r="C1949">
        <v>0.34999999999999987</v>
      </c>
    </row>
    <row r="1950" spans="1:3" x14ac:dyDescent="0.25">
      <c r="A1950">
        <v>38</v>
      </c>
      <c r="B1950">
        <v>21</v>
      </c>
      <c r="C1950">
        <v>0.34999999999999987</v>
      </c>
    </row>
    <row r="1951" spans="1:3" x14ac:dyDescent="0.25">
      <c r="A1951">
        <v>2</v>
      </c>
      <c r="B1951">
        <v>46</v>
      </c>
      <c r="C1951">
        <v>0.34999999999999876</v>
      </c>
    </row>
    <row r="1952" spans="1:3" x14ac:dyDescent="0.25">
      <c r="A1952">
        <v>46</v>
      </c>
      <c r="B1952">
        <v>2</v>
      </c>
      <c r="C1952">
        <v>0.34999999999999876</v>
      </c>
    </row>
    <row r="1953" spans="1:3" x14ac:dyDescent="0.25">
      <c r="A1953">
        <v>15</v>
      </c>
      <c r="B1953">
        <v>25</v>
      </c>
      <c r="C1953">
        <v>0.3400000000000003</v>
      </c>
    </row>
    <row r="1954" spans="1:3" x14ac:dyDescent="0.25">
      <c r="A1954">
        <v>22</v>
      </c>
      <c r="B1954">
        <v>49</v>
      </c>
      <c r="C1954">
        <v>0.3400000000000003</v>
      </c>
    </row>
    <row r="1955" spans="1:3" x14ac:dyDescent="0.25">
      <c r="A1955">
        <v>25</v>
      </c>
      <c r="B1955">
        <v>15</v>
      </c>
      <c r="C1955">
        <v>0.3400000000000003</v>
      </c>
    </row>
    <row r="1956" spans="1:3" x14ac:dyDescent="0.25">
      <c r="A1956">
        <v>49</v>
      </c>
      <c r="B1956">
        <v>22</v>
      </c>
      <c r="C1956">
        <v>0.3400000000000003</v>
      </c>
    </row>
    <row r="1957" spans="1:3" x14ac:dyDescent="0.25">
      <c r="A1957">
        <v>20</v>
      </c>
      <c r="B1957">
        <v>36</v>
      </c>
      <c r="C1957">
        <v>0.34000000000000019</v>
      </c>
    </row>
    <row r="1958" spans="1:3" x14ac:dyDescent="0.25">
      <c r="A1958">
        <v>36</v>
      </c>
      <c r="B1958">
        <v>20</v>
      </c>
      <c r="C1958">
        <v>0.34000000000000019</v>
      </c>
    </row>
    <row r="1959" spans="1:3" x14ac:dyDescent="0.25">
      <c r="A1959">
        <v>16</v>
      </c>
      <c r="B1959">
        <v>47</v>
      </c>
      <c r="C1959">
        <v>0.33999999999999986</v>
      </c>
    </row>
    <row r="1960" spans="1:3" x14ac:dyDescent="0.25">
      <c r="A1960">
        <v>47</v>
      </c>
      <c r="B1960">
        <v>16</v>
      </c>
      <c r="C1960">
        <v>0.33999999999999986</v>
      </c>
    </row>
    <row r="1961" spans="1:3" x14ac:dyDescent="0.25">
      <c r="A1961">
        <v>7</v>
      </c>
      <c r="B1961">
        <v>19</v>
      </c>
      <c r="C1961">
        <v>0.33000000000000718</v>
      </c>
    </row>
    <row r="1962" spans="1:3" x14ac:dyDescent="0.25">
      <c r="A1962">
        <v>19</v>
      </c>
      <c r="B1962">
        <v>7</v>
      </c>
      <c r="C1962">
        <v>0.33000000000000718</v>
      </c>
    </row>
    <row r="1963" spans="1:3" x14ac:dyDescent="0.25">
      <c r="A1963">
        <v>11</v>
      </c>
      <c r="B1963">
        <v>23</v>
      </c>
      <c r="C1963">
        <v>0.32000000000000406</v>
      </c>
    </row>
    <row r="1964" spans="1:3" x14ac:dyDescent="0.25">
      <c r="A1964">
        <v>23</v>
      </c>
      <c r="B1964">
        <v>11</v>
      </c>
      <c r="C1964">
        <v>0.32000000000000406</v>
      </c>
    </row>
    <row r="1965" spans="1:3" x14ac:dyDescent="0.25">
      <c r="A1965">
        <v>5</v>
      </c>
      <c r="B1965">
        <v>35</v>
      </c>
      <c r="C1965">
        <v>0.32000000000000117</v>
      </c>
    </row>
    <row r="1966" spans="1:3" x14ac:dyDescent="0.25">
      <c r="A1966">
        <v>35</v>
      </c>
      <c r="B1966">
        <v>5</v>
      </c>
      <c r="C1966">
        <v>0.32000000000000117</v>
      </c>
    </row>
    <row r="1967" spans="1:3" x14ac:dyDescent="0.25">
      <c r="A1967">
        <v>24</v>
      </c>
      <c r="B1967">
        <v>26</v>
      </c>
      <c r="C1967">
        <v>0.32000000000000051</v>
      </c>
    </row>
    <row r="1968" spans="1:3" x14ac:dyDescent="0.25">
      <c r="A1968">
        <v>26</v>
      </c>
      <c r="B1968">
        <v>24</v>
      </c>
      <c r="C1968">
        <v>0.32000000000000051</v>
      </c>
    </row>
    <row r="1969" spans="1:3" x14ac:dyDescent="0.25">
      <c r="A1969">
        <v>12</v>
      </c>
      <c r="B1969">
        <v>44</v>
      </c>
      <c r="C1969">
        <v>0.31999999999999429</v>
      </c>
    </row>
    <row r="1970" spans="1:3" x14ac:dyDescent="0.25">
      <c r="A1970">
        <v>44</v>
      </c>
      <c r="B1970">
        <v>12</v>
      </c>
      <c r="C1970">
        <v>0.31999999999999429</v>
      </c>
    </row>
    <row r="1971" spans="1:3" x14ac:dyDescent="0.25">
      <c r="A1971">
        <v>21</v>
      </c>
      <c r="B1971">
        <v>41</v>
      </c>
      <c r="C1971">
        <v>0.31000000000000028</v>
      </c>
    </row>
    <row r="1972" spans="1:3" x14ac:dyDescent="0.25">
      <c r="A1972">
        <v>41</v>
      </c>
      <c r="B1972">
        <v>21</v>
      </c>
      <c r="C1972">
        <v>0.31000000000000028</v>
      </c>
    </row>
    <row r="1973" spans="1:3" x14ac:dyDescent="0.25">
      <c r="A1973">
        <v>22</v>
      </c>
      <c r="B1973">
        <v>25</v>
      </c>
      <c r="C1973">
        <v>0.31000000000000005</v>
      </c>
    </row>
    <row r="1974" spans="1:3" x14ac:dyDescent="0.25">
      <c r="A1974">
        <v>25</v>
      </c>
      <c r="B1974">
        <v>22</v>
      </c>
      <c r="C1974">
        <v>0.31000000000000005</v>
      </c>
    </row>
    <row r="1975" spans="1:3" x14ac:dyDescent="0.25">
      <c r="A1975">
        <v>14</v>
      </c>
      <c r="B1975">
        <v>40</v>
      </c>
      <c r="C1975">
        <v>0.30999999999999872</v>
      </c>
    </row>
    <row r="1976" spans="1:3" x14ac:dyDescent="0.25">
      <c r="A1976">
        <v>40</v>
      </c>
      <c r="B1976">
        <v>14</v>
      </c>
      <c r="C1976">
        <v>0.30999999999999872</v>
      </c>
    </row>
    <row r="1977" spans="1:3" x14ac:dyDescent="0.25">
      <c r="A1977">
        <v>31</v>
      </c>
      <c r="B1977">
        <v>33</v>
      </c>
      <c r="C1977">
        <v>0.29999999999999982</v>
      </c>
    </row>
    <row r="1978" spans="1:3" x14ac:dyDescent="0.25">
      <c r="A1978">
        <v>33</v>
      </c>
      <c r="B1978">
        <v>31</v>
      </c>
      <c r="C1978">
        <v>0.29999999999999982</v>
      </c>
    </row>
    <row r="1979" spans="1:3" x14ac:dyDescent="0.25">
      <c r="A1979">
        <v>11</v>
      </c>
      <c r="B1979">
        <v>21</v>
      </c>
      <c r="C1979">
        <v>0.29999999999999605</v>
      </c>
    </row>
    <row r="1980" spans="1:3" x14ac:dyDescent="0.25">
      <c r="A1980">
        <v>21</v>
      </c>
      <c r="B1980">
        <v>11</v>
      </c>
      <c r="C1980">
        <v>0.29999999999999605</v>
      </c>
    </row>
    <row r="1981" spans="1:3" x14ac:dyDescent="0.25">
      <c r="A1981">
        <v>22</v>
      </c>
      <c r="B1981">
        <v>33</v>
      </c>
      <c r="C1981">
        <v>0.29000000000000048</v>
      </c>
    </row>
    <row r="1982" spans="1:3" x14ac:dyDescent="0.25">
      <c r="A1982">
        <v>33</v>
      </c>
      <c r="B1982">
        <v>22</v>
      </c>
      <c r="C1982">
        <v>0.29000000000000048</v>
      </c>
    </row>
    <row r="1983" spans="1:3" x14ac:dyDescent="0.25">
      <c r="A1983">
        <v>41</v>
      </c>
      <c r="B1983">
        <v>45</v>
      </c>
      <c r="C1983">
        <v>0.29000000000000004</v>
      </c>
    </row>
    <row r="1984" spans="1:3" x14ac:dyDescent="0.25">
      <c r="A1984">
        <v>45</v>
      </c>
      <c r="B1984">
        <v>41</v>
      </c>
      <c r="C1984">
        <v>0.29000000000000004</v>
      </c>
    </row>
    <row r="1985" spans="1:3" x14ac:dyDescent="0.25">
      <c r="A1985">
        <v>4</v>
      </c>
      <c r="B1985">
        <v>20</v>
      </c>
      <c r="C1985">
        <v>0.28999999999999948</v>
      </c>
    </row>
    <row r="1986" spans="1:3" x14ac:dyDescent="0.25">
      <c r="A1986">
        <v>20</v>
      </c>
      <c r="B1986">
        <v>4</v>
      </c>
      <c r="C1986">
        <v>0.28999999999999948</v>
      </c>
    </row>
    <row r="1987" spans="1:3" x14ac:dyDescent="0.25">
      <c r="A1987">
        <v>14</v>
      </c>
      <c r="B1987">
        <v>22</v>
      </c>
      <c r="C1987">
        <v>0.28999999999999782</v>
      </c>
    </row>
    <row r="1988" spans="1:3" x14ac:dyDescent="0.25">
      <c r="A1988">
        <v>22</v>
      </c>
      <c r="B1988">
        <v>14</v>
      </c>
      <c r="C1988">
        <v>0.28999999999999782</v>
      </c>
    </row>
    <row r="1989" spans="1:3" x14ac:dyDescent="0.25">
      <c r="A1989">
        <v>20</v>
      </c>
      <c r="B1989">
        <v>31</v>
      </c>
      <c r="C1989">
        <v>0.28000000000000058</v>
      </c>
    </row>
    <row r="1990" spans="1:3" x14ac:dyDescent="0.25">
      <c r="A1990">
        <v>31</v>
      </c>
      <c r="B1990">
        <v>20</v>
      </c>
      <c r="C1990">
        <v>0.28000000000000058</v>
      </c>
    </row>
    <row r="1991" spans="1:3" x14ac:dyDescent="0.25">
      <c r="A1991">
        <v>40</v>
      </c>
      <c r="B1991">
        <v>44</v>
      </c>
      <c r="C1991">
        <v>0.28000000000000047</v>
      </c>
    </row>
    <row r="1992" spans="1:3" x14ac:dyDescent="0.25">
      <c r="A1992">
        <v>44</v>
      </c>
      <c r="B1992">
        <v>40</v>
      </c>
      <c r="C1992">
        <v>0.28000000000000047</v>
      </c>
    </row>
    <row r="1993" spans="1:3" x14ac:dyDescent="0.25">
      <c r="A1993">
        <v>32</v>
      </c>
      <c r="B1993">
        <v>41</v>
      </c>
      <c r="C1993">
        <v>0.28000000000000025</v>
      </c>
    </row>
    <row r="1994" spans="1:3" x14ac:dyDescent="0.25">
      <c r="A1994">
        <v>41</v>
      </c>
      <c r="B1994">
        <v>32</v>
      </c>
      <c r="C1994">
        <v>0.28000000000000025</v>
      </c>
    </row>
    <row r="1995" spans="1:3" x14ac:dyDescent="0.25">
      <c r="A1995">
        <v>9</v>
      </c>
      <c r="B1995">
        <v>22</v>
      </c>
      <c r="C1995">
        <v>0.28000000000000014</v>
      </c>
    </row>
    <row r="1996" spans="1:3" x14ac:dyDescent="0.25">
      <c r="A1996">
        <v>20</v>
      </c>
      <c r="B1996">
        <v>46</v>
      </c>
      <c r="C1996">
        <v>0.28000000000000014</v>
      </c>
    </row>
    <row r="1997" spans="1:3" x14ac:dyDescent="0.25">
      <c r="A1997">
        <v>22</v>
      </c>
      <c r="B1997">
        <v>9</v>
      </c>
      <c r="C1997">
        <v>0.28000000000000014</v>
      </c>
    </row>
    <row r="1998" spans="1:3" x14ac:dyDescent="0.25">
      <c r="A1998">
        <v>46</v>
      </c>
      <c r="B1998">
        <v>20</v>
      </c>
      <c r="C1998">
        <v>0.28000000000000014</v>
      </c>
    </row>
    <row r="1999" spans="1:3" x14ac:dyDescent="0.25">
      <c r="A1999">
        <v>25</v>
      </c>
      <c r="B1999">
        <v>31</v>
      </c>
      <c r="C1999">
        <v>0.2799999999999998</v>
      </c>
    </row>
    <row r="2000" spans="1:3" x14ac:dyDescent="0.25">
      <c r="A2000">
        <v>27</v>
      </c>
      <c r="B2000">
        <v>43</v>
      </c>
      <c r="C2000">
        <v>0.2799999999999998</v>
      </c>
    </row>
    <row r="2001" spans="1:3" x14ac:dyDescent="0.25">
      <c r="A2001">
        <v>31</v>
      </c>
      <c r="B2001">
        <v>25</v>
      </c>
      <c r="C2001">
        <v>0.2799999999999998</v>
      </c>
    </row>
    <row r="2002" spans="1:3" x14ac:dyDescent="0.25">
      <c r="A2002">
        <v>43</v>
      </c>
      <c r="B2002">
        <v>27</v>
      </c>
      <c r="C2002">
        <v>0.2799999999999998</v>
      </c>
    </row>
    <row r="2003" spans="1:3" x14ac:dyDescent="0.25">
      <c r="A2003">
        <v>46</v>
      </c>
      <c r="B2003">
        <v>48</v>
      </c>
      <c r="C2003">
        <v>0.27999999999999936</v>
      </c>
    </row>
    <row r="2004" spans="1:3" x14ac:dyDescent="0.25">
      <c r="A2004">
        <v>48</v>
      </c>
      <c r="B2004">
        <v>46</v>
      </c>
      <c r="C2004">
        <v>0.27999999999999936</v>
      </c>
    </row>
    <row r="2005" spans="1:3" x14ac:dyDescent="0.25">
      <c r="A2005">
        <v>11</v>
      </c>
      <c r="B2005">
        <v>24</v>
      </c>
      <c r="C2005">
        <v>0.27999999999999847</v>
      </c>
    </row>
    <row r="2006" spans="1:3" x14ac:dyDescent="0.25">
      <c r="A2006">
        <v>24</v>
      </c>
      <c r="B2006">
        <v>11</v>
      </c>
      <c r="C2006">
        <v>0.27999999999999847</v>
      </c>
    </row>
    <row r="2007" spans="1:3" x14ac:dyDescent="0.25">
      <c r="A2007">
        <v>27</v>
      </c>
      <c r="B2007">
        <v>29</v>
      </c>
      <c r="C2007">
        <v>0.27</v>
      </c>
    </row>
    <row r="2008" spans="1:3" x14ac:dyDescent="0.25">
      <c r="A2008">
        <v>29</v>
      </c>
      <c r="B2008">
        <v>27</v>
      </c>
      <c r="C2008">
        <v>0.27</v>
      </c>
    </row>
    <row r="2009" spans="1:3" x14ac:dyDescent="0.25">
      <c r="A2009">
        <v>46</v>
      </c>
      <c r="B2009">
        <v>50</v>
      </c>
      <c r="C2009">
        <v>0.26999999999999691</v>
      </c>
    </row>
    <row r="2010" spans="1:3" x14ac:dyDescent="0.25">
      <c r="A2010">
        <v>50</v>
      </c>
      <c r="B2010">
        <v>46</v>
      </c>
      <c r="C2010">
        <v>0.26999999999999691</v>
      </c>
    </row>
    <row r="2011" spans="1:3" x14ac:dyDescent="0.25">
      <c r="A2011">
        <v>24</v>
      </c>
      <c r="B2011">
        <v>37</v>
      </c>
      <c r="C2011">
        <v>0.26000000000000068</v>
      </c>
    </row>
    <row r="2012" spans="1:3" x14ac:dyDescent="0.25">
      <c r="A2012">
        <v>37</v>
      </c>
      <c r="B2012">
        <v>24</v>
      </c>
      <c r="C2012">
        <v>0.26000000000000068</v>
      </c>
    </row>
    <row r="2013" spans="1:3" x14ac:dyDescent="0.25">
      <c r="A2013">
        <v>4</v>
      </c>
      <c r="B2013">
        <v>9</v>
      </c>
      <c r="C2013">
        <v>0.26000000000000056</v>
      </c>
    </row>
    <row r="2014" spans="1:3" x14ac:dyDescent="0.25">
      <c r="A2014">
        <v>9</v>
      </c>
      <c r="B2014">
        <v>4</v>
      </c>
      <c r="C2014">
        <v>0.26000000000000056</v>
      </c>
    </row>
    <row r="2015" spans="1:3" x14ac:dyDescent="0.25">
      <c r="A2015">
        <v>9</v>
      </c>
      <c r="B2015">
        <v>15</v>
      </c>
      <c r="C2015">
        <v>0.26000000000000056</v>
      </c>
    </row>
    <row r="2016" spans="1:3" x14ac:dyDescent="0.25">
      <c r="A2016">
        <v>15</v>
      </c>
      <c r="B2016">
        <v>9</v>
      </c>
      <c r="C2016">
        <v>0.26000000000000056</v>
      </c>
    </row>
    <row r="2017" spans="1:3" x14ac:dyDescent="0.25">
      <c r="A2017">
        <v>21</v>
      </c>
      <c r="B2017">
        <v>34</v>
      </c>
      <c r="C2017">
        <v>0.26000000000000023</v>
      </c>
    </row>
    <row r="2018" spans="1:3" x14ac:dyDescent="0.25">
      <c r="A2018">
        <v>22</v>
      </c>
      <c r="B2018">
        <v>37</v>
      </c>
      <c r="C2018">
        <v>0.26000000000000023</v>
      </c>
    </row>
    <row r="2019" spans="1:3" x14ac:dyDescent="0.25">
      <c r="A2019">
        <v>34</v>
      </c>
      <c r="B2019">
        <v>21</v>
      </c>
      <c r="C2019">
        <v>0.26000000000000023</v>
      </c>
    </row>
    <row r="2020" spans="1:3" x14ac:dyDescent="0.25">
      <c r="A2020">
        <v>37</v>
      </c>
      <c r="B2020">
        <v>22</v>
      </c>
      <c r="C2020">
        <v>0.26000000000000023</v>
      </c>
    </row>
    <row r="2021" spans="1:3" x14ac:dyDescent="0.25">
      <c r="A2021">
        <v>18</v>
      </c>
      <c r="B2021">
        <v>44</v>
      </c>
      <c r="C2021">
        <v>0.26</v>
      </c>
    </row>
    <row r="2022" spans="1:3" x14ac:dyDescent="0.25">
      <c r="A2022">
        <v>44</v>
      </c>
      <c r="B2022">
        <v>18</v>
      </c>
      <c r="C2022">
        <v>0.26</v>
      </c>
    </row>
    <row r="2023" spans="1:3" x14ac:dyDescent="0.25">
      <c r="A2023">
        <v>6</v>
      </c>
      <c r="B2023">
        <v>20</v>
      </c>
      <c r="C2023">
        <v>0.25999999999999834</v>
      </c>
    </row>
    <row r="2024" spans="1:3" x14ac:dyDescent="0.25">
      <c r="A2024">
        <v>20</v>
      </c>
      <c r="B2024">
        <v>6</v>
      </c>
      <c r="C2024">
        <v>0.25999999999999834</v>
      </c>
    </row>
    <row r="2025" spans="1:3" x14ac:dyDescent="0.25">
      <c r="A2025">
        <v>3</v>
      </c>
      <c r="B2025">
        <v>46</v>
      </c>
      <c r="C2025">
        <v>0.25999999999999535</v>
      </c>
    </row>
    <row r="2026" spans="1:3" x14ac:dyDescent="0.25">
      <c r="A2026">
        <v>46</v>
      </c>
      <c r="B2026">
        <v>3</v>
      </c>
      <c r="C2026">
        <v>0.25999999999999535</v>
      </c>
    </row>
    <row r="2027" spans="1:3" x14ac:dyDescent="0.25">
      <c r="A2027">
        <v>19</v>
      </c>
      <c r="B2027">
        <v>49</v>
      </c>
      <c r="C2027">
        <v>0.25</v>
      </c>
    </row>
    <row r="2028" spans="1:3" x14ac:dyDescent="0.25">
      <c r="A2028">
        <v>49</v>
      </c>
      <c r="B2028">
        <v>19</v>
      </c>
      <c r="C2028">
        <v>0.25</v>
      </c>
    </row>
    <row r="2029" spans="1:3" x14ac:dyDescent="0.25">
      <c r="A2029">
        <v>21</v>
      </c>
      <c r="B2029">
        <v>43</v>
      </c>
      <c r="C2029">
        <v>0.24999999999999978</v>
      </c>
    </row>
    <row r="2030" spans="1:3" x14ac:dyDescent="0.25">
      <c r="A2030">
        <v>43</v>
      </c>
      <c r="B2030">
        <v>21</v>
      </c>
      <c r="C2030">
        <v>0.24999999999999978</v>
      </c>
    </row>
    <row r="2031" spans="1:3" x14ac:dyDescent="0.25">
      <c r="A2031">
        <v>8</v>
      </c>
      <c r="B2031">
        <v>34</v>
      </c>
      <c r="C2031">
        <v>0.24000000000000465</v>
      </c>
    </row>
    <row r="2032" spans="1:3" x14ac:dyDescent="0.25">
      <c r="A2032">
        <v>10</v>
      </c>
      <c r="B2032">
        <v>34</v>
      </c>
      <c r="C2032">
        <v>0.24000000000000465</v>
      </c>
    </row>
    <row r="2033" spans="1:3" x14ac:dyDescent="0.25">
      <c r="A2033">
        <v>34</v>
      </c>
      <c r="B2033">
        <v>8</v>
      </c>
      <c r="C2033">
        <v>0.24000000000000465</v>
      </c>
    </row>
    <row r="2034" spans="1:3" x14ac:dyDescent="0.25">
      <c r="A2034">
        <v>34</v>
      </c>
      <c r="B2034">
        <v>10</v>
      </c>
      <c r="C2034">
        <v>0.24000000000000465</v>
      </c>
    </row>
    <row r="2035" spans="1:3" x14ac:dyDescent="0.25">
      <c r="A2035">
        <v>5</v>
      </c>
      <c r="B2035">
        <v>39</v>
      </c>
      <c r="C2035">
        <v>0.24000000000000021</v>
      </c>
    </row>
    <row r="2036" spans="1:3" x14ac:dyDescent="0.25">
      <c r="A2036">
        <v>39</v>
      </c>
      <c r="B2036">
        <v>5</v>
      </c>
      <c r="C2036">
        <v>0.24000000000000021</v>
      </c>
    </row>
    <row r="2037" spans="1:3" x14ac:dyDescent="0.25">
      <c r="A2037">
        <v>5</v>
      </c>
      <c r="B2037">
        <v>34</v>
      </c>
      <c r="C2037">
        <v>0.22999999999999954</v>
      </c>
    </row>
    <row r="2038" spans="1:3" x14ac:dyDescent="0.25">
      <c r="A2038">
        <v>34</v>
      </c>
      <c r="B2038">
        <v>5</v>
      </c>
      <c r="C2038">
        <v>0.22999999999999954</v>
      </c>
    </row>
    <row r="2039" spans="1:3" x14ac:dyDescent="0.25">
      <c r="A2039">
        <v>21</v>
      </c>
      <c r="B2039">
        <v>29</v>
      </c>
      <c r="C2039">
        <v>0.22999999999999932</v>
      </c>
    </row>
    <row r="2040" spans="1:3" x14ac:dyDescent="0.25">
      <c r="A2040">
        <v>29</v>
      </c>
      <c r="B2040">
        <v>21</v>
      </c>
      <c r="C2040">
        <v>0.22999999999999932</v>
      </c>
    </row>
    <row r="2041" spans="1:3" x14ac:dyDescent="0.25">
      <c r="A2041">
        <v>5</v>
      </c>
      <c r="B2041">
        <v>9</v>
      </c>
      <c r="C2041">
        <v>0.22000000000000142</v>
      </c>
    </row>
    <row r="2042" spans="1:3" x14ac:dyDescent="0.25">
      <c r="A2042">
        <v>9</v>
      </c>
      <c r="B2042">
        <v>5</v>
      </c>
      <c r="C2042">
        <v>0.22000000000000142</v>
      </c>
    </row>
    <row r="2043" spans="1:3" x14ac:dyDescent="0.25">
      <c r="A2043">
        <v>16</v>
      </c>
      <c r="B2043">
        <v>48</v>
      </c>
      <c r="C2043">
        <v>0.22000000000000064</v>
      </c>
    </row>
    <row r="2044" spans="1:3" x14ac:dyDescent="0.25">
      <c r="A2044">
        <v>48</v>
      </c>
      <c r="B2044">
        <v>16</v>
      </c>
      <c r="C2044">
        <v>0.22000000000000064</v>
      </c>
    </row>
    <row r="2045" spans="1:3" x14ac:dyDescent="0.25">
      <c r="A2045">
        <v>9</v>
      </c>
      <c r="B2045">
        <v>31</v>
      </c>
      <c r="C2045">
        <v>0.22000000000000053</v>
      </c>
    </row>
    <row r="2046" spans="1:3" x14ac:dyDescent="0.25">
      <c r="A2046">
        <v>31</v>
      </c>
      <c r="B2046">
        <v>9</v>
      </c>
      <c r="C2046">
        <v>0.22000000000000053</v>
      </c>
    </row>
    <row r="2047" spans="1:3" x14ac:dyDescent="0.25">
      <c r="A2047">
        <v>15</v>
      </c>
      <c r="B2047">
        <v>20</v>
      </c>
      <c r="C2047">
        <v>0.22000000000000008</v>
      </c>
    </row>
    <row r="2048" spans="1:3" x14ac:dyDescent="0.25">
      <c r="A2048">
        <v>20</v>
      </c>
      <c r="B2048">
        <v>15</v>
      </c>
      <c r="C2048">
        <v>0.22000000000000008</v>
      </c>
    </row>
    <row r="2049" spans="1:3" x14ac:dyDescent="0.25">
      <c r="A2049">
        <v>13</v>
      </c>
      <c r="B2049">
        <v>33</v>
      </c>
      <c r="C2049">
        <v>0.21999999999999975</v>
      </c>
    </row>
    <row r="2050" spans="1:3" x14ac:dyDescent="0.25">
      <c r="A2050">
        <v>33</v>
      </c>
      <c r="B2050">
        <v>13</v>
      </c>
      <c r="C2050">
        <v>0.21999999999999975</v>
      </c>
    </row>
    <row r="2051" spans="1:3" x14ac:dyDescent="0.25">
      <c r="A2051">
        <v>17</v>
      </c>
      <c r="B2051">
        <v>36</v>
      </c>
      <c r="C2051">
        <v>0.21000000000000041</v>
      </c>
    </row>
    <row r="2052" spans="1:3" x14ac:dyDescent="0.25">
      <c r="A2052">
        <v>36</v>
      </c>
      <c r="B2052">
        <v>17</v>
      </c>
      <c r="C2052">
        <v>0.21000000000000041</v>
      </c>
    </row>
    <row r="2053" spans="1:3" x14ac:dyDescent="0.25">
      <c r="A2053">
        <v>19</v>
      </c>
      <c r="B2053">
        <v>26</v>
      </c>
      <c r="C2053">
        <v>0.21000000000000019</v>
      </c>
    </row>
    <row r="2054" spans="1:3" x14ac:dyDescent="0.25">
      <c r="A2054">
        <v>26</v>
      </c>
      <c r="B2054">
        <v>19</v>
      </c>
      <c r="C2054">
        <v>0.21000000000000019</v>
      </c>
    </row>
    <row r="2055" spans="1:3" x14ac:dyDescent="0.25">
      <c r="A2055">
        <v>42</v>
      </c>
      <c r="B2055">
        <v>49</v>
      </c>
      <c r="C2055">
        <v>0.20999999999999996</v>
      </c>
    </row>
    <row r="2056" spans="1:3" x14ac:dyDescent="0.25">
      <c r="A2056">
        <v>49</v>
      </c>
      <c r="B2056">
        <v>42</v>
      </c>
      <c r="C2056">
        <v>0.20999999999999996</v>
      </c>
    </row>
    <row r="2057" spans="1:3" x14ac:dyDescent="0.25">
      <c r="A2057">
        <v>27</v>
      </c>
      <c r="B2057">
        <v>34</v>
      </c>
      <c r="C2057">
        <v>0.20999999999999952</v>
      </c>
    </row>
    <row r="2058" spans="1:3" x14ac:dyDescent="0.25">
      <c r="A2058">
        <v>34</v>
      </c>
      <c r="B2058">
        <v>27</v>
      </c>
      <c r="C2058">
        <v>0.20999999999999952</v>
      </c>
    </row>
    <row r="2059" spans="1:3" x14ac:dyDescent="0.25">
      <c r="A2059">
        <v>14</v>
      </c>
      <c r="B2059">
        <v>26</v>
      </c>
      <c r="C2059">
        <v>0.20999999999999486</v>
      </c>
    </row>
    <row r="2060" spans="1:3" x14ac:dyDescent="0.25">
      <c r="A2060">
        <v>26</v>
      </c>
      <c r="B2060">
        <v>14</v>
      </c>
      <c r="C2060">
        <v>0.20999999999999486</v>
      </c>
    </row>
    <row r="2061" spans="1:3" x14ac:dyDescent="0.25">
      <c r="A2061">
        <v>16</v>
      </c>
      <c r="B2061">
        <v>42</v>
      </c>
      <c r="C2061">
        <v>0.20000000000000018</v>
      </c>
    </row>
    <row r="2062" spans="1:3" x14ac:dyDescent="0.25">
      <c r="A2062">
        <v>27</v>
      </c>
      <c r="B2062">
        <v>36</v>
      </c>
      <c r="C2062">
        <v>0.20000000000000018</v>
      </c>
    </row>
    <row r="2063" spans="1:3" x14ac:dyDescent="0.25">
      <c r="A2063">
        <v>36</v>
      </c>
      <c r="B2063">
        <v>27</v>
      </c>
      <c r="C2063">
        <v>0.20000000000000018</v>
      </c>
    </row>
    <row r="2064" spans="1:3" x14ac:dyDescent="0.25">
      <c r="A2064">
        <v>42</v>
      </c>
      <c r="B2064">
        <v>16</v>
      </c>
      <c r="C2064">
        <v>0.20000000000000018</v>
      </c>
    </row>
    <row r="2065" spans="1:3" x14ac:dyDescent="0.25">
      <c r="A2065">
        <v>32</v>
      </c>
      <c r="B2065">
        <v>43</v>
      </c>
      <c r="C2065">
        <v>0.19999999999999973</v>
      </c>
    </row>
    <row r="2066" spans="1:3" x14ac:dyDescent="0.25">
      <c r="A2066">
        <v>43</v>
      </c>
      <c r="B2066">
        <v>32</v>
      </c>
      <c r="C2066">
        <v>0.19999999999999973</v>
      </c>
    </row>
    <row r="2067" spans="1:3" x14ac:dyDescent="0.25">
      <c r="A2067">
        <v>12</v>
      </c>
      <c r="B2067">
        <v>33</v>
      </c>
      <c r="C2067">
        <v>0.19999999999999662</v>
      </c>
    </row>
    <row r="2068" spans="1:3" x14ac:dyDescent="0.25">
      <c r="A2068">
        <v>33</v>
      </c>
      <c r="B2068">
        <v>12</v>
      </c>
      <c r="C2068">
        <v>0.19999999999999662</v>
      </c>
    </row>
    <row r="2069" spans="1:3" x14ac:dyDescent="0.25">
      <c r="A2069">
        <v>8</v>
      </c>
      <c r="B2069">
        <v>15</v>
      </c>
      <c r="C2069">
        <v>0.19000000000000306</v>
      </c>
    </row>
    <row r="2070" spans="1:3" x14ac:dyDescent="0.25">
      <c r="A2070">
        <v>10</v>
      </c>
      <c r="B2070">
        <v>15</v>
      </c>
      <c r="C2070">
        <v>0.19000000000000306</v>
      </c>
    </row>
    <row r="2071" spans="1:3" x14ac:dyDescent="0.25">
      <c r="A2071">
        <v>15</v>
      </c>
      <c r="B2071">
        <v>8</v>
      </c>
      <c r="C2071">
        <v>0.19000000000000306</v>
      </c>
    </row>
    <row r="2072" spans="1:3" x14ac:dyDescent="0.25">
      <c r="A2072">
        <v>15</v>
      </c>
      <c r="B2072">
        <v>10</v>
      </c>
      <c r="C2072">
        <v>0.19000000000000306</v>
      </c>
    </row>
    <row r="2073" spans="1:3" x14ac:dyDescent="0.25">
      <c r="A2073">
        <v>9</v>
      </c>
      <c r="B2073">
        <v>45</v>
      </c>
      <c r="C2073">
        <v>0.18999999999999984</v>
      </c>
    </row>
    <row r="2074" spans="1:3" x14ac:dyDescent="0.25">
      <c r="A2074">
        <v>45</v>
      </c>
      <c r="B2074">
        <v>9</v>
      </c>
      <c r="C2074">
        <v>0.18999999999999984</v>
      </c>
    </row>
    <row r="2075" spans="1:3" x14ac:dyDescent="0.25">
      <c r="A2075">
        <v>38</v>
      </c>
      <c r="B2075">
        <v>45</v>
      </c>
      <c r="C2075">
        <v>0.1899999999999995</v>
      </c>
    </row>
    <row r="2076" spans="1:3" x14ac:dyDescent="0.25">
      <c r="A2076">
        <v>45</v>
      </c>
      <c r="B2076">
        <v>38</v>
      </c>
      <c r="C2076">
        <v>0.1899999999999995</v>
      </c>
    </row>
    <row r="2077" spans="1:3" x14ac:dyDescent="0.25">
      <c r="A2077">
        <v>5</v>
      </c>
      <c r="B2077">
        <v>46</v>
      </c>
      <c r="C2077">
        <v>0.18000000000000416</v>
      </c>
    </row>
    <row r="2078" spans="1:3" x14ac:dyDescent="0.25">
      <c r="A2078">
        <v>46</v>
      </c>
      <c r="B2078">
        <v>5</v>
      </c>
      <c r="C2078">
        <v>0.18000000000000416</v>
      </c>
    </row>
    <row r="2079" spans="1:3" x14ac:dyDescent="0.25">
      <c r="A2079">
        <v>32</v>
      </c>
      <c r="B2079">
        <v>34</v>
      </c>
      <c r="C2079">
        <v>0.18000000000000016</v>
      </c>
    </row>
    <row r="2080" spans="1:3" x14ac:dyDescent="0.25">
      <c r="A2080">
        <v>34</v>
      </c>
      <c r="B2080">
        <v>32</v>
      </c>
      <c r="C2080">
        <v>0.18000000000000016</v>
      </c>
    </row>
    <row r="2081" spans="1:3" x14ac:dyDescent="0.25">
      <c r="A2081">
        <v>5</v>
      </c>
      <c r="B2081">
        <v>30</v>
      </c>
      <c r="C2081">
        <v>0.17000000000000304</v>
      </c>
    </row>
    <row r="2082" spans="1:3" x14ac:dyDescent="0.25">
      <c r="A2082">
        <v>30</v>
      </c>
      <c r="B2082">
        <v>5</v>
      </c>
      <c r="C2082">
        <v>0.17000000000000304</v>
      </c>
    </row>
    <row r="2083" spans="1:3" x14ac:dyDescent="0.25">
      <c r="A2083">
        <v>4</v>
      </c>
      <c r="B2083">
        <v>27</v>
      </c>
      <c r="C2083">
        <v>0.17000000000000037</v>
      </c>
    </row>
    <row r="2084" spans="1:3" x14ac:dyDescent="0.25">
      <c r="A2084">
        <v>27</v>
      </c>
      <c r="B2084">
        <v>4</v>
      </c>
      <c r="C2084">
        <v>0.17000000000000037</v>
      </c>
    </row>
    <row r="2085" spans="1:3" x14ac:dyDescent="0.25">
      <c r="A2085">
        <v>29</v>
      </c>
      <c r="B2085">
        <v>32</v>
      </c>
      <c r="C2085">
        <v>0.17000000000000037</v>
      </c>
    </row>
    <row r="2086" spans="1:3" x14ac:dyDescent="0.25">
      <c r="A2086">
        <v>32</v>
      </c>
      <c r="B2086">
        <v>29</v>
      </c>
      <c r="C2086">
        <v>0.17000000000000037</v>
      </c>
    </row>
    <row r="2087" spans="1:3" x14ac:dyDescent="0.25">
      <c r="A2087">
        <v>34</v>
      </c>
      <c r="B2087">
        <v>45</v>
      </c>
      <c r="C2087">
        <v>0.17000000000000037</v>
      </c>
    </row>
    <row r="2088" spans="1:3" x14ac:dyDescent="0.25">
      <c r="A2088">
        <v>45</v>
      </c>
      <c r="B2088">
        <v>34</v>
      </c>
      <c r="C2088">
        <v>0.17000000000000037</v>
      </c>
    </row>
    <row r="2089" spans="1:3" x14ac:dyDescent="0.25">
      <c r="A2089">
        <v>20</v>
      </c>
      <c r="B2089">
        <v>44</v>
      </c>
      <c r="C2089">
        <v>0.17000000000000004</v>
      </c>
    </row>
    <row r="2090" spans="1:3" x14ac:dyDescent="0.25">
      <c r="A2090">
        <v>44</v>
      </c>
      <c r="B2090">
        <v>20</v>
      </c>
      <c r="C2090">
        <v>0.17000000000000004</v>
      </c>
    </row>
    <row r="2091" spans="1:3" x14ac:dyDescent="0.25">
      <c r="A2091">
        <v>14</v>
      </c>
      <c r="B2091">
        <v>50</v>
      </c>
      <c r="C2091">
        <v>0.15999999999999659</v>
      </c>
    </row>
    <row r="2092" spans="1:3" x14ac:dyDescent="0.25">
      <c r="A2092">
        <v>50</v>
      </c>
      <c r="B2092">
        <v>14</v>
      </c>
      <c r="C2092">
        <v>0.15999999999999659</v>
      </c>
    </row>
    <row r="2093" spans="1:3" x14ac:dyDescent="0.25">
      <c r="A2093">
        <v>13</v>
      </c>
      <c r="B2093">
        <v>44</v>
      </c>
      <c r="C2093">
        <v>0.14999999999999969</v>
      </c>
    </row>
    <row r="2094" spans="1:3" x14ac:dyDescent="0.25">
      <c r="A2094">
        <v>44</v>
      </c>
      <c r="B2094">
        <v>13</v>
      </c>
      <c r="C2094">
        <v>0.14999999999999969</v>
      </c>
    </row>
    <row r="2095" spans="1:3" x14ac:dyDescent="0.25">
      <c r="A2095">
        <v>32</v>
      </c>
      <c r="B2095">
        <v>36</v>
      </c>
      <c r="C2095">
        <v>0.14000000000000057</v>
      </c>
    </row>
    <row r="2096" spans="1:3" x14ac:dyDescent="0.25">
      <c r="A2096">
        <v>36</v>
      </c>
      <c r="B2096">
        <v>32</v>
      </c>
      <c r="C2096">
        <v>0.14000000000000057</v>
      </c>
    </row>
    <row r="2097" spans="1:3" x14ac:dyDescent="0.25">
      <c r="A2097">
        <v>35</v>
      </c>
      <c r="B2097">
        <v>45</v>
      </c>
      <c r="C2097">
        <v>0.14000000000000012</v>
      </c>
    </row>
    <row r="2098" spans="1:3" x14ac:dyDescent="0.25">
      <c r="A2098">
        <v>45</v>
      </c>
      <c r="B2098">
        <v>35</v>
      </c>
      <c r="C2098">
        <v>0.14000000000000012</v>
      </c>
    </row>
    <row r="2099" spans="1:3" x14ac:dyDescent="0.25">
      <c r="A2099">
        <v>26</v>
      </c>
      <c r="B2099">
        <v>33</v>
      </c>
      <c r="C2099">
        <v>0.1399999999999999</v>
      </c>
    </row>
    <row r="2100" spans="1:3" x14ac:dyDescent="0.25">
      <c r="A2100">
        <v>33</v>
      </c>
      <c r="B2100">
        <v>26</v>
      </c>
      <c r="C2100">
        <v>0.1399999999999999</v>
      </c>
    </row>
    <row r="2101" spans="1:3" x14ac:dyDescent="0.25">
      <c r="A2101">
        <v>25</v>
      </c>
      <c r="B2101">
        <v>36</v>
      </c>
      <c r="C2101">
        <v>0.13999999999999968</v>
      </c>
    </row>
    <row r="2102" spans="1:3" x14ac:dyDescent="0.25">
      <c r="A2102">
        <v>36</v>
      </c>
      <c r="B2102">
        <v>25</v>
      </c>
      <c r="C2102">
        <v>0.13999999999999968</v>
      </c>
    </row>
    <row r="2103" spans="1:3" x14ac:dyDescent="0.25">
      <c r="A2103">
        <v>7</v>
      </c>
      <c r="B2103">
        <v>43</v>
      </c>
      <c r="C2103">
        <v>0.13999999999999879</v>
      </c>
    </row>
    <row r="2104" spans="1:3" x14ac:dyDescent="0.25">
      <c r="A2104">
        <v>43</v>
      </c>
      <c r="B2104">
        <v>7</v>
      </c>
      <c r="C2104">
        <v>0.13999999999999879</v>
      </c>
    </row>
    <row r="2105" spans="1:3" x14ac:dyDescent="0.25">
      <c r="A2105">
        <v>7</v>
      </c>
      <c r="B2105">
        <v>24</v>
      </c>
      <c r="C2105">
        <v>0.1399999999999979</v>
      </c>
    </row>
    <row r="2106" spans="1:3" x14ac:dyDescent="0.25">
      <c r="A2106">
        <v>24</v>
      </c>
      <c r="B2106">
        <v>7</v>
      </c>
      <c r="C2106">
        <v>0.1399999999999979</v>
      </c>
    </row>
    <row r="2107" spans="1:3" x14ac:dyDescent="0.25">
      <c r="A2107">
        <v>9</v>
      </c>
      <c r="B2107">
        <v>36</v>
      </c>
      <c r="C2107">
        <v>0.13000000000000023</v>
      </c>
    </row>
    <row r="2108" spans="1:3" x14ac:dyDescent="0.25">
      <c r="A2108">
        <v>20</v>
      </c>
      <c r="B2108">
        <v>22</v>
      </c>
      <c r="C2108">
        <v>0.13000000000000023</v>
      </c>
    </row>
    <row r="2109" spans="1:3" x14ac:dyDescent="0.25">
      <c r="A2109">
        <v>22</v>
      </c>
      <c r="B2109">
        <v>20</v>
      </c>
      <c r="C2109">
        <v>0.13000000000000023</v>
      </c>
    </row>
    <row r="2110" spans="1:3" x14ac:dyDescent="0.25">
      <c r="A2110">
        <v>36</v>
      </c>
      <c r="B2110">
        <v>9</v>
      </c>
      <c r="C2110">
        <v>0.13000000000000023</v>
      </c>
    </row>
    <row r="2111" spans="1:3" x14ac:dyDescent="0.25">
      <c r="A2111">
        <v>24</v>
      </c>
      <c r="B2111">
        <v>49</v>
      </c>
      <c r="C2111">
        <v>0.12999999999999989</v>
      </c>
    </row>
    <row r="2112" spans="1:3" x14ac:dyDescent="0.25">
      <c r="A2112">
        <v>37</v>
      </c>
      <c r="B2112">
        <v>42</v>
      </c>
      <c r="C2112">
        <v>0.12999999999999989</v>
      </c>
    </row>
    <row r="2113" spans="1:3" x14ac:dyDescent="0.25">
      <c r="A2113">
        <v>42</v>
      </c>
      <c r="B2113">
        <v>37</v>
      </c>
      <c r="C2113">
        <v>0.12999999999999989</v>
      </c>
    </row>
    <row r="2114" spans="1:3" x14ac:dyDescent="0.25">
      <c r="A2114">
        <v>49</v>
      </c>
      <c r="B2114">
        <v>24</v>
      </c>
      <c r="C2114">
        <v>0.12999999999999989</v>
      </c>
    </row>
    <row r="2115" spans="1:3" x14ac:dyDescent="0.25">
      <c r="A2115">
        <v>13</v>
      </c>
      <c r="B2115">
        <v>21</v>
      </c>
      <c r="C2115">
        <v>0.12999999999999967</v>
      </c>
    </row>
    <row r="2116" spans="1:3" x14ac:dyDescent="0.25">
      <c r="A2116">
        <v>21</v>
      </c>
      <c r="B2116">
        <v>13</v>
      </c>
      <c r="C2116">
        <v>0.12999999999999967</v>
      </c>
    </row>
    <row r="2117" spans="1:3" x14ac:dyDescent="0.25">
      <c r="A2117">
        <v>45</v>
      </c>
      <c r="B2117">
        <v>46</v>
      </c>
      <c r="C2117">
        <v>0.12999999999999945</v>
      </c>
    </row>
    <row r="2118" spans="1:3" x14ac:dyDescent="0.25">
      <c r="A2118">
        <v>46</v>
      </c>
      <c r="B2118">
        <v>45</v>
      </c>
      <c r="C2118">
        <v>0.12999999999999945</v>
      </c>
    </row>
    <row r="2119" spans="1:3" x14ac:dyDescent="0.25">
      <c r="A2119">
        <v>6</v>
      </c>
      <c r="B2119">
        <v>45</v>
      </c>
      <c r="C2119">
        <v>0.12000000000000677</v>
      </c>
    </row>
    <row r="2120" spans="1:3" x14ac:dyDescent="0.25">
      <c r="A2120">
        <v>45</v>
      </c>
      <c r="B2120">
        <v>6</v>
      </c>
      <c r="C2120">
        <v>0.12000000000000677</v>
      </c>
    </row>
    <row r="2121" spans="1:3" x14ac:dyDescent="0.25">
      <c r="A2121">
        <v>5</v>
      </c>
      <c r="B2121">
        <v>23</v>
      </c>
      <c r="C2121">
        <v>0.12000000000000122</v>
      </c>
    </row>
    <row r="2122" spans="1:3" x14ac:dyDescent="0.25">
      <c r="A2122">
        <v>23</v>
      </c>
      <c r="B2122">
        <v>5</v>
      </c>
      <c r="C2122">
        <v>0.12000000000000122</v>
      </c>
    </row>
    <row r="2123" spans="1:3" x14ac:dyDescent="0.25">
      <c r="A2123">
        <v>37</v>
      </c>
      <c r="B2123">
        <v>39</v>
      </c>
      <c r="C2123">
        <v>0.12000000000000099</v>
      </c>
    </row>
    <row r="2124" spans="1:3" x14ac:dyDescent="0.25">
      <c r="A2124">
        <v>39</v>
      </c>
      <c r="B2124">
        <v>37</v>
      </c>
      <c r="C2124">
        <v>0.12000000000000099</v>
      </c>
    </row>
    <row r="2125" spans="1:3" x14ac:dyDescent="0.25">
      <c r="A2125">
        <v>27</v>
      </c>
      <c r="B2125">
        <v>31</v>
      </c>
      <c r="C2125">
        <v>0.12000000000000055</v>
      </c>
    </row>
    <row r="2126" spans="1:3" x14ac:dyDescent="0.25">
      <c r="A2126">
        <v>31</v>
      </c>
      <c r="B2126">
        <v>27</v>
      </c>
      <c r="C2126">
        <v>0.12000000000000055</v>
      </c>
    </row>
    <row r="2127" spans="1:3" x14ac:dyDescent="0.25">
      <c r="A2127">
        <v>21</v>
      </c>
      <c r="B2127">
        <v>26</v>
      </c>
      <c r="C2127">
        <v>0.12000000000000011</v>
      </c>
    </row>
    <row r="2128" spans="1:3" x14ac:dyDescent="0.25">
      <c r="A2128">
        <v>26</v>
      </c>
      <c r="B2128">
        <v>21</v>
      </c>
      <c r="C2128">
        <v>0.12000000000000011</v>
      </c>
    </row>
    <row r="2129" spans="1:3" x14ac:dyDescent="0.25">
      <c r="A2129">
        <v>11</v>
      </c>
      <c r="B2129">
        <v>19</v>
      </c>
      <c r="C2129">
        <v>0.11999999999999922</v>
      </c>
    </row>
    <row r="2130" spans="1:3" x14ac:dyDescent="0.25">
      <c r="A2130">
        <v>19</v>
      </c>
      <c r="B2130">
        <v>11</v>
      </c>
      <c r="C2130">
        <v>0.11999999999999922</v>
      </c>
    </row>
    <row r="2131" spans="1:3" x14ac:dyDescent="0.25">
      <c r="A2131">
        <v>12</v>
      </c>
      <c r="B2131">
        <v>46</v>
      </c>
      <c r="C2131">
        <v>0.11999999999999478</v>
      </c>
    </row>
    <row r="2132" spans="1:3" x14ac:dyDescent="0.25">
      <c r="A2132">
        <v>46</v>
      </c>
      <c r="B2132">
        <v>12</v>
      </c>
      <c r="C2132">
        <v>0.11999999999999478</v>
      </c>
    </row>
    <row r="2133" spans="1:3" x14ac:dyDescent="0.25">
      <c r="A2133">
        <v>33</v>
      </c>
      <c r="B2133">
        <v>36</v>
      </c>
      <c r="C2133">
        <v>0.11000000000000076</v>
      </c>
    </row>
    <row r="2134" spans="1:3" x14ac:dyDescent="0.25">
      <c r="A2134">
        <v>36</v>
      </c>
      <c r="B2134">
        <v>33</v>
      </c>
      <c r="C2134">
        <v>0.11000000000000076</v>
      </c>
    </row>
    <row r="2135" spans="1:3" x14ac:dyDescent="0.25">
      <c r="A2135">
        <v>18</v>
      </c>
      <c r="B2135">
        <v>46</v>
      </c>
      <c r="C2135">
        <v>0.11000000000000032</v>
      </c>
    </row>
    <row r="2136" spans="1:3" x14ac:dyDescent="0.25">
      <c r="A2136">
        <v>33</v>
      </c>
      <c r="B2136">
        <v>40</v>
      </c>
      <c r="C2136">
        <v>0.11000000000000032</v>
      </c>
    </row>
    <row r="2137" spans="1:3" x14ac:dyDescent="0.25">
      <c r="A2137">
        <v>35</v>
      </c>
      <c r="B2137">
        <v>37</v>
      </c>
      <c r="C2137">
        <v>0.11000000000000032</v>
      </c>
    </row>
    <row r="2138" spans="1:3" x14ac:dyDescent="0.25">
      <c r="A2138">
        <v>37</v>
      </c>
      <c r="B2138">
        <v>35</v>
      </c>
      <c r="C2138">
        <v>0.11000000000000032</v>
      </c>
    </row>
    <row r="2139" spans="1:3" x14ac:dyDescent="0.25">
      <c r="A2139">
        <v>40</v>
      </c>
      <c r="B2139">
        <v>33</v>
      </c>
      <c r="C2139">
        <v>0.11000000000000032</v>
      </c>
    </row>
    <row r="2140" spans="1:3" x14ac:dyDescent="0.25">
      <c r="A2140">
        <v>40</v>
      </c>
      <c r="B2140">
        <v>46</v>
      </c>
      <c r="C2140">
        <v>0.11000000000000032</v>
      </c>
    </row>
    <row r="2141" spans="1:3" x14ac:dyDescent="0.25">
      <c r="A2141">
        <v>46</v>
      </c>
      <c r="B2141">
        <v>18</v>
      </c>
      <c r="C2141">
        <v>0.11000000000000032</v>
      </c>
    </row>
    <row r="2142" spans="1:3" x14ac:dyDescent="0.25">
      <c r="A2142">
        <v>46</v>
      </c>
      <c r="B2142">
        <v>40</v>
      </c>
      <c r="C2142">
        <v>0.11000000000000032</v>
      </c>
    </row>
    <row r="2143" spans="1:3" x14ac:dyDescent="0.25">
      <c r="A2143">
        <v>14</v>
      </c>
      <c r="B2143">
        <v>36</v>
      </c>
      <c r="C2143">
        <v>0.10999999999999988</v>
      </c>
    </row>
    <row r="2144" spans="1:3" x14ac:dyDescent="0.25">
      <c r="A2144">
        <v>36</v>
      </c>
      <c r="B2144">
        <v>14</v>
      </c>
      <c r="C2144">
        <v>0.10999999999999988</v>
      </c>
    </row>
    <row r="2145" spans="1:3" x14ac:dyDescent="0.25">
      <c r="A2145">
        <v>39</v>
      </c>
      <c r="B2145">
        <v>45</v>
      </c>
      <c r="C2145">
        <v>0.10999999999999988</v>
      </c>
    </row>
    <row r="2146" spans="1:3" x14ac:dyDescent="0.25">
      <c r="A2146">
        <v>45</v>
      </c>
      <c r="B2146">
        <v>39</v>
      </c>
      <c r="C2146">
        <v>0.10999999999999988</v>
      </c>
    </row>
    <row r="2147" spans="1:3" x14ac:dyDescent="0.25">
      <c r="A2147">
        <v>14</v>
      </c>
      <c r="B2147">
        <v>18</v>
      </c>
      <c r="C2147">
        <v>0.10999999999999766</v>
      </c>
    </row>
    <row r="2148" spans="1:3" x14ac:dyDescent="0.25">
      <c r="A2148">
        <v>18</v>
      </c>
      <c r="B2148">
        <v>14</v>
      </c>
      <c r="C2148">
        <v>0.10999999999999766</v>
      </c>
    </row>
    <row r="2149" spans="1:3" x14ac:dyDescent="0.25">
      <c r="A2149">
        <v>9</v>
      </c>
      <c r="B2149">
        <v>11</v>
      </c>
      <c r="C2149">
        <v>0.10000000000000397</v>
      </c>
    </row>
    <row r="2150" spans="1:3" x14ac:dyDescent="0.25">
      <c r="A2150">
        <v>11</v>
      </c>
      <c r="B2150">
        <v>9</v>
      </c>
      <c r="C2150">
        <v>0.10000000000000397</v>
      </c>
    </row>
    <row r="2151" spans="1:3" x14ac:dyDescent="0.25">
      <c r="A2151">
        <v>30</v>
      </c>
      <c r="B2151">
        <v>45</v>
      </c>
      <c r="C2151">
        <v>0.10000000000000053</v>
      </c>
    </row>
    <row r="2152" spans="1:3" x14ac:dyDescent="0.25">
      <c r="A2152">
        <v>45</v>
      </c>
      <c r="B2152">
        <v>30</v>
      </c>
      <c r="C2152">
        <v>0.10000000000000053</v>
      </c>
    </row>
    <row r="2153" spans="1:3" x14ac:dyDescent="0.25">
      <c r="A2153">
        <v>19</v>
      </c>
      <c r="B2153">
        <v>20</v>
      </c>
      <c r="C2153">
        <v>9.9999999999999978E-2</v>
      </c>
    </row>
    <row r="2154" spans="1:3" x14ac:dyDescent="0.25">
      <c r="A2154">
        <v>20</v>
      </c>
      <c r="B2154">
        <v>19</v>
      </c>
      <c r="C2154">
        <v>9.9999999999999978E-2</v>
      </c>
    </row>
    <row r="2155" spans="1:3" x14ac:dyDescent="0.25">
      <c r="A2155">
        <v>29</v>
      </c>
      <c r="B2155">
        <v>49</v>
      </c>
      <c r="C2155">
        <v>9.9999999999998757E-2</v>
      </c>
    </row>
    <row r="2156" spans="1:3" x14ac:dyDescent="0.25">
      <c r="A2156">
        <v>49</v>
      </c>
      <c r="B2156">
        <v>29</v>
      </c>
      <c r="C2156">
        <v>9.9999999999998757E-2</v>
      </c>
    </row>
    <row r="2157" spans="1:3" x14ac:dyDescent="0.25">
      <c r="A2157">
        <v>12</v>
      </c>
      <c r="B2157">
        <v>21</v>
      </c>
      <c r="C2157">
        <v>9.00000000000023E-2</v>
      </c>
    </row>
    <row r="2158" spans="1:3" x14ac:dyDescent="0.25">
      <c r="A2158">
        <v>21</v>
      </c>
      <c r="B2158">
        <v>12</v>
      </c>
      <c r="C2158">
        <v>9.00000000000023E-2</v>
      </c>
    </row>
    <row r="2159" spans="1:3" x14ac:dyDescent="0.25">
      <c r="A2159">
        <v>17</v>
      </c>
      <c r="B2159">
        <v>47</v>
      </c>
      <c r="C2159">
        <v>9.0000000000001634E-2</v>
      </c>
    </row>
    <row r="2160" spans="1:3" x14ac:dyDescent="0.25">
      <c r="A2160">
        <v>47</v>
      </c>
      <c r="B2160">
        <v>17</v>
      </c>
      <c r="C2160">
        <v>9.0000000000001634E-2</v>
      </c>
    </row>
    <row r="2161" spans="1:3" x14ac:dyDescent="0.25">
      <c r="A2161">
        <v>30</v>
      </c>
      <c r="B2161">
        <v>37</v>
      </c>
      <c r="C2161">
        <v>9.000000000000119E-2</v>
      </c>
    </row>
    <row r="2162" spans="1:3" x14ac:dyDescent="0.25">
      <c r="A2162">
        <v>37</v>
      </c>
      <c r="B2162">
        <v>30</v>
      </c>
      <c r="C2162">
        <v>9.000000000000119E-2</v>
      </c>
    </row>
    <row r="2163" spans="1:3" x14ac:dyDescent="0.25">
      <c r="A2163">
        <v>21</v>
      </c>
      <c r="B2163">
        <v>40</v>
      </c>
      <c r="C2163">
        <v>9.0000000000000524E-2</v>
      </c>
    </row>
    <row r="2164" spans="1:3" x14ac:dyDescent="0.25">
      <c r="A2164">
        <v>40</v>
      </c>
      <c r="B2164">
        <v>21</v>
      </c>
      <c r="C2164">
        <v>9.0000000000000524E-2</v>
      </c>
    </row>
    <row r="2165" spans="1:3" x14ac:dyDescent="0.25">
      <c r="A2165">
        <v>21</v>
      </c>
      <c r="B2165">
        <v>42</v>
      </c>
      <c r="C2165">
        <v>9.000000000000008E-2</v>
      </c>
    </row>
    <row r="2166" spans="1:3" x14ac:dyDescent="0.25">
      <c r="A2166">
        <v>42</v>
      </c>
      <c r="B2166">
        <v>21</v>
      </c>
      <c r="C2166">
        <v>9.000000000000008E-2</v>
      </c>
    </row>
    <row r="2167" spans="1:3" x14ac:dyDescent="0.25">
      <c r="A2167">
        <v>4</v>
      </c>
      <c r="B2167">
        <v>32</v>
      </c>
      <c r="C2167">
        <v>8.9999999999993197E-2</v>
      </c>
    </row>
    <row r="2168" spans="1:3" x14ac:dyDescent="0.25">
      <c r="A2168">
        <v>32</v>
      </c>
      <c r="B2168">
        <v>4</v>
      </c>
      <c r="C2168">
        <v>8.9999999999993197E-2</v>
      </c>
    </row>
    <row r="2169" spans="1:3" x14ac:dyDescent="0.25">
      <c r="A2169">
        <v>31</v>
      </c>
      <c r="B2169">
        <v>32</v>
      </c>
      <c r="C2169">
        <v>8.0000000000000515E-2</v>
      </c>
    </row>
    <row r="2170" spans="1:3" x14ac:dyDescent="0.25">
      <c r="A2170">
        <v>32</v>
      </c>
      <c r="B2170">
        <v>31</v>
      </c>
      <c r="C2170">
        <v>8.0000000000000515E-2</v>
      </c>
    </row>
    <row r="2171" spans="1:3" x14ac:dyDescent="0.25">
      <c r="A2171">
        <v>23</v>
      </c>
      <c r="B2171">
        <v>37</v>
      </c>
      <c r="C2171">
        <v>8.0000000000000293E-2</v>
      </c>
    </row>
    <row r="2172" spans="1:3" x14ac:dyDescent="0.25">
      <c r="A2172">
        <v>37</v>
      </c>
      <c r="B2172">
        <v>23</v>
      </c>
      <c r="C2172">
        <v>8.0000000000000293E-2</v>
      </c>
    </row>
    <row r="2173" spans="1:3" x14ac:dyDescent="0.25">
      <c r="A2173">
        <v>17</v>
      </c>
      <c r="B2173">
        <v>28</v>
      </c>
      <c r="C2173">
        <v>8.0000000000000071E-2</v>
      </c>
    </row>
    <row r="2174" spans="1:3" x14ac:dyDescent="0.25">
      <c r="A2174">
        <v>28</v>
      </c>
      <c r="B2174">
        <v>17</v>
      </c>
      <c r="C2174">
        <v>8.0000000000000071E-2</v>
      </c>
    </row>
    <row r="2175" spans="1:3" x14ac:dyDescent="0.25">
      <c r="A2175">
        <v>23</v>
      </c>
      <c r="B2175">
        <v>45</v>
      </c>
      <c r="C2175">
        <v>7.9999999999999849E-2</v>
      </c>
    </row>
    <row r="2176" spans="1:3" x14ac:dyDescent="0.25">
      <c r="A2176">
        <v>45</v>
      </c>
      <c r="B2176">
        <v>23</v>
      </c>
      <c r="C2176">
        <v>7.9999999999999849E-2</v>
      </c>
    </row>
    <row r="2177" spans="1:3" x14ac:dyDescent="0.25">
      <c r="A2177">
        <v>6</v>
      </c>
      <c r="B2177">
        <v>26</v>
      </c>
      <c r="C2177">
        <v>7.9999999999999405E-2</v>
      </c>
    </row>
    <row r="2178" spans="1:3" x14ac:dyDescent="0.25">
      <c r="A2178">
        <v>26</v>
      </c>
      <c r="B2178">
        <v>6</v>
      </c>
      <c r="C2178">
        <v>7.9999999999999405E-2</v>
      </c>
    </row>
    <row r="2179" spans="1:3" x14ac:dyDescent="0.25">
      <c r="A2179">
        <v>2</v>
      </c>
      <c r="B2179">
        <v>14</v>
      </c>
      <c r="C2179">
        <v>7.9999999999998295E-2</v>
      </c>
    </row>
    <row r="2180" spans="1:3" x14ac:dyDescent="0.25">
      <c r="A2180">
        <v>14</v>
      </c>
      <c r="B2180">
        <v>2</v>
      </c>
      <c r="C2180">
        <v>7.9999999999998295E-2</v>
      </c>
    </row>
    <row r="2181" spans="1:3" x14ac:dyDescent="0.25">
      <c r="A2181">
        <v>18</v>
      </c>
      <c r="B2181">
        <v>21</v>
      </c>
      <c r="C2181">
        <v>7.0000000000000062E-2</v>
      </c>
    </row>
    <row r="2182" spans="1:3" x14ac:dyDescent="0.25">
      <c r="A2182">
        <v>21</v>
      </c>
      <c r="B2182">
        <v>18</v>
      </c>
      <c r="C2182">
        <v>7.0000000000000062E-2</v>
      </c>
    </row>
    <row r="2183" spans="1:3" x14ac:dyDescent="0.25">
      <c r="A2183">
        <v>26</v>
      </c>
      <c r="B2183">
        <v>44</v>
      </c>
      <c r="C2183">
        <v>6.999999999999984E-2</v>
      </c>
    </row>
    <row r="2184" spans="1:3" x14ac:dyDescent="0.25">
      <c r="A2184">
        <v>44</v>
      </c>
      <c r="B2184">
        <v>26</v>
      </c>
      <c r="C2184">
        <v>6.999999999999984E-2</v>
      </c>
    </row>
    <row r="2185" spans="1:3" x14ac:dyDescent="0.25">
      <c r="A2185">
        <v>9</v>
      </c>
      <c r="B2185">
        <v>47</v>
      </c>
      <c r="C2185">
        <v>6.0000000000001275E-2</v>
      </c>
    </row>
    <row r="2186" spans="1:3" x14ac:dyDescent="0.25">
      <c r="A2186">
        <v>47</v>
      </c>
      <c r="B2186">
        <v>9</v>
      </c>
      <c r="C2186">
        <v>6.0000000000001275E-2</v>
      </c>
    </row>
    <row r="2187" spans="1:3" x14ac:dyDescent="0.25">
      <c r="A2187">
        <v>20</v>
      </c>
      <c r="B2187">
        <v>24</v>
      </c>
      <c r="C2187">
        <v>6.0000000000000386E-2</v>
      </c>
    </row>
    <row r="2188" spans="1:3" x14ac:dyDescent="0.25">
      <c r="A2188">
        <v>24</v>
      </c>
      <c r="B2188">
        <v>20</v>
      </c>
      <c r="C2188">
        <v>6.0000000000000386E-2</v>
      </c>
    </row>
    <row r="2189" spans="1:3" x14ac:dyDescent="0.25">
      <c r="A2189">
        <v>15</v>
      </c>
      <c r="B2189">
        <v>27</v>
      </c>
      <c r="C2189">
        <v>6.0000000000000053E-2</v>
      </c>
    </row>
    <row r="2190" spans="1:3" x14ac:dyDescent="0.25">
      <c r="A2190">
        <v>27</v>
      </c>
      <c r="B2190">
        <v>15</v>
      </c>
      <c r="C2190">
        <v>6.0000000000000053E-2</v>
      </c>
    </row>
    <row r="2191" spans="1:3" x14ac:dyDescent="0.25">
      <c r="A2191">
        <v>20</v>
      </c>
      <c r="B2191">
        <v>42</v>
      </c>
      <c r="C2191">
        <v>5.9999999999999942E-2</v>
      </c>
    </row>
    <row r="2192" spans="1:3" x14ac:dyDescent="0.25">
      <c r="A2192">
        <v>42</v>
      </c>
      <c r="B2192">
        <v>20</v>
      </c>
      <c r="C2192">
        <v>5.9999999999999942E-2</v>
      </c>
    </row>
    <row r="2193" spans="1:3" x14ac:dyDescent="0.25">
      <c r="A2193">
        <v>5</v>
      </c>
      <c r="B2193">
        <v>24</v>
      </c>
      <c r="C2193">
        <v>5.9999999999999609E-2</v>
      </c>
    </row>
    <row r="2194" spans="1:3" x14ac:dyDescent="0.25">
      <c r="A2194">
        <v>24</v>
      </c>
      <c r="B2194">
        <v>5</v>
      </c>
      <c r="C2194">
        <v>5.9999999999999609E-2</v>
      </c>
    </row>
    <row r="2195" spans="1:3" x14ac:dyDescent="0.25">
      <c r="A2195">
        <v>17</v>
      </c>
      <c r="B2195">
        <v>48</v>
      </c>
      <c r="C2195">
        <v>4.9999999999999822E-2</v>
      </c>
    </row>
    <row r="2196" spans="1:3" x14ac:dyDescent="0.25">
      <c r="A2196">
        <v>18</v>
      </c>
      <c r="B2196">
        <v>33</v>
      </c>
      <c r="C2196">
        <v>4.9999999999999822E-2</v>
      </c>
    </row>
    <row r="2197" spans="1:3" x14ac:dyDescent="0.25">
      <c r="A2197">
        <v>33</v>
      </c>
      <c r="B2197">
        <v>18</v>
      </c>
      <c r="C2197">
        <v>4.9999999999999822E-2</v>
      </c>
    </row>
    <row r="2198" spans="1:3" x14ac:dyDescent="0.25">
      <c r="A2198">
        <v>48</v>
      </c>
      <c r="B2198">
        <v>17</v>
      </c>
      <c r="C2198">
        <v>4.9999999999999822E-2</v>
      </c>
    </row>
    <row r="2199" spans="1:3" x14ac:dyDescent="0.25">
      <c r="A2199">
        <v>9</v>
      </c>
      <c r="B2199">
        <v>28</v>
      </c>
      <c r="C2199">
        <v>4.9999999999999711E-2</v>
      </c>
    </row>
    <row r="2200" spans="1:3" x14ac:dyDescent="0.25">
      <c r="A2200">
        <v>28</v>
      </c>
      <c r="B2200">
        <v>9</v>
      </c>
      <c r="C2200">
        <v>4.9999999999999711E-2</v>
      </c>
    </row>
    <row r="2201" spans="1:3" x14ac:dyDescent="0.25">
      <c r="A2201">
        <v>21</v>
      </c>
      <c r="B2201">
        <v>50</v>
      </c>
      <c r="C2201">
        <v>4.99999999999996E-2</v>
      </c>
    </row>
    <row r="2202" spans="1:3" x14ac:dyDescent="0.25">
      <c r="A2202">
        <v>50</v>
      </c>
      <c r="B2202">
        <v>21</v>
      </c>
      <c r="C2202">
        <v>4.99999999999996E-2</v>
      </c>
    </row>
    <row r="2203" spans="1:3" x14ac:dyDescent="0.25">
      <c r="A2203">
        <v>37</v>
      </c>
      <c r="B2203">
        <v>38</v>
      </c>
      <c r="C2203">
        <v>4.9999999999999378E-2</v>
      </c>
    </row>
    <row r="2204" spans="1:3" x14ac:dyDescent="0.25">
      <c r="A2204">
        <v>38</v>
      </c>
      <c r="B2204">
        <v>37</v>
      </c>
      <c r="C2204">
        <v>4.9999999999999378E-2</v>
      </c>
    </row>
    <row r="2205" spans="1:3" x14ac:dyDescent="0.25">
      <c r="A2205">
        <v>3</v>
      </c>
      <c r="B2205">
        <v>21</v>
      </c>
      <c r="C2205">
        <v>4.9999999999996048E-2</v>
      </c>
    </row>
    <row r="2206" spans="1:3" x14ac:dyDescent="0.25">
      <c r="A2206">
        <v>21</v>
      </c>
      <c r="B2206">
        <v>3</v>
      </c>
      <c r="C2206">
        <v>4.9999999999996048E-2</v>
      </c>
    </row>
    <row r="2207" spans="1:3" x14ac:dyDescent="0.25">
      <c r="A2207">
        <v>2</v>
      </c>
      <c r="B2207">
        <v>17</v>
      </c>
      <c r="C2207">
        <v>4.9999999999995381E-2</v>
      </c>
    </row>
    <row r="2208" spans="1:3" x14ac:dyDescent="0.25">
      <c r="A2208">
        <v>17</v>
      </c>
      <c r="B2208">
        <v>2</v>
      </c>
      <c r="C2208">
        <v>4.9999999999995381E-2</v>
      </c>
    </row>
    <row r="2209" spans="1:3" x14ac:dyDescent="0.25">
      <c r="A2209">
        <v>25</v>
      </c>
      <c r="B2209">
        <v>47</v>
      </c>
      <c r="C2209">
        <v>4.0000000000001368E-2</v>
      </c>
    </row>
    <row r="2210" spans="1:3" x14ac:dyDescent="0.25">
      <c r="A2210">
        <v>47</v>
      </c>
      <c r="B2210">
        <v>25</v>
      </c>
      <c r="C2210">
        <v>4.0000000000001368E-2</v>
      </c>
    </row>
    <row r="2211" spans="1:3" x14ac:dyDescent="0.25">
      <c r="A2211">
        <v>15</v>
      </c>
      <c r="B2211">
        <v>32</v>
      </c>
      <c r="C2211">
        <v>4.000000000000048E-2</v>
      </c>
    </row>
    <row r="2212" spans="1:3" x14ac:dyDescent="0.25">
      <c r="A2212">
        <v>16</v>
      </c>
      <c r="B2212">
        <v>22</v>
      </c>
      <c r="C2212">
        <v>4.000000000000048E-2</v>
      </c>
    </row>
    <row r="2213" spans="1:3" x14ac:dyDescent="0.25">
      <c r="A2213">
        <v>22</v>
      </c>
      <c r="B2213">
        <v>16</v>
      </c>
      <c r="C2213">
        <v>4.000000000000048E-2</v>
      </c>
    </row>
    <row r="2214" spans="1:3" x14ac:dyDescent="0.25">
      <c r="A2214">
        <v>32</v>
      </c>
      <c r="B2214">
        <v>15</v>
      </c>
      <c r="C2214">
        <v>4.000000000000048E-2</v>
      </c>
    </row>
    <row r="2215" spans="1:3" x14ac:dyDescent="0.25">
      <c r="A2215">
        <v>5</v>
      </c>
      <c r="B2215">
        <v>44</v>
      </c>
      <c r="C2215">
        <v>4.0000000000000258E-2</v>
      </c>
    </row>
    <row r="2216" spans="1:3" x14ac:dyDescent="0.25">
      <c r="A2216">
        <v>44</v>
      </c>
      <c r="B2216">
        <v>5</v>
      </c>
      <c r="C2216">
        <v>4.0000000000000258E-2</v>
      </c>
    </row>
    <row r="2217" spans="1:3" x14ac:dyDescent="0.25">
      <c r="A2217">
        <v>13</v>
      </c>
      <c r="B2217">
        <v>46</v>
      </c>
      <c r="C2217">
        <v>4.0000000000000036E-2</v>
      </c>
    </row>
    <row r="2218" spans="1:3" x14ac:dyDescent="0.25">
      <c r="A2218">
        <v>21</v>
      </c>
      <c r="B2218">
        <v>22</v>
      </c>
      <c r="C2218">
        <v>4.0000000000000036E-2</v>
      </c>
    </row>
    <row r="2219" spans="1:3" x14ac:dyDescent="0.25">
      <c r="A2219">
        <v>22</v>
      </c>
      <c r="B2219">
        <v>21</v>
      </c>
      <c r="C2219">
        <v>4.0000000000000036E-2</v>
      </c>
    </row>
    <row r="2220" spans="1:3" x14ac:dyDescent="0.25">
      <c r="A2220">
        <v>39</v>
      </c>
      <c r="B2220">
        <v>49</v>
      </c>
      <c r="C2220">
        <v>4.0000000000000036E-2</v>
      </c>
    </row>
    <row r="2221" spans="1:3" x14ac:dyDescent="0.25">
      <c r="A2221">
        <v>43</v>
      </c>
      <c r="B2221">
        <v>49</v>
      </c>
      <c r="C2221">
        <v>4.0000000000000036E-2</v>
      </c>
    </row>
    <row r="2222" spans="1:3" x14ac:dyDescent="0.25">
      <c r="A2222">
        <v>46</v>
      </c>
      <c r="B2222">
        <v>13</v>
      </c>
      <c r="C2222">
        <v>4.0000000000000036E-2</v>
      </c>
    </row>
    <row r="2223" spans="1:3" x14ac:dyDescent="0.25">
      <c r="A2223">
        <v>49</v>
      </c>
      <c r="B2223">
        <v>39</v>
      </c>
      <c r="C2223">
        <v>4.0000000000000036E-2</v>
      </c>
    </row>
    <row r="2224" spans="1:3" x14ac:dyDescent="0.25">
      <c r="A2224">
        <v>49</v>
      </c>
      <c r="B2224">
        <v>43</v>
      </c>
      <c r="C2224">
        <v>4.0000000000000036E-2</v>
      </c>
    </row>
    <row r="2225" spans="1:3" x14ac:dyDescent="0.25">
      <c r="A2225">
        <v>13</v>
      </c>
      <c r="B2225">
        <v>25</v>
      </c>
      <c r="C2225">
        <v>3.9999999999999591E-2</v>
      </c>
    </row>
    <row r="2226" spans="1:3" x14ac:dyDescent="0.25">
      <c r="A2226">
        <v>25</v>
      </c>
      <c r="B2226">
        <v>13</v>
      </c>
      <c r="C2226">
        <v>3.9999999999999591E-2</v>
      </c>
    </row>
    <row r="2227" spans="1:3" x14ac:dyDescent="0.25">
      <c r="A2227">
        <v>2</v>
      </c>
      <c r="B2227">
        <v>21</v>
      </c>
      <c r="C2227">
        <v>3.9999999999998037E-2</v>
      </c>
    </row>
    <row r="2228" spans="1:3" x14ac:dyDescent="0.25">
      <c r="A2228">
        <v>21</v>
      </c>
      <c r="B2228">
        <v>2</v>
      </c>
      <c r="C2228">
        <v>3.9999999999998037E-2</v>
      </c>
    </row>
    <row r="2229" spans="1:3" x14ac:dyDescent="0.25">
      <c r="A2229">
        <v>11</v>
      </c>
      <c r="B2229">
        <v>46</v>
      </c>
      <c r="C2229">
        <v>3.9999999999996483E-2</v>
      </c>
    </row>
    <row r="2230" spans="1:3" x14ac:dyDescent="0.25">
      <c r="A2230">
        <v>46</v>
      </c>
      <c r="B2230">
        <v>11</v>
      </c>
      <c r="C2230">
        <v>3.9999999999996483E-2</v>
      </c>
    </row>
    <row r="2231" spans="1:3" x14ac:dyDescent="0.25">
      <c r="A2231">
        <v>10</v>
      </c>
      <c r="B2231">
        <v>22</v>
      </c>
      <c r="C2231">
        <v>3.000000000000691E-2</v>
      </c>
    </row>
    <row r="2232" spans="1:3" x14ac:dyDescent="0.25">
      <c r="A2232">
        <v>22</v>
      </c>
      <c r="B2232">
        <v>10</v>
      </c>
      <c r="C2232">
        <v>3.000000000000691E-2</v>
      </c>
    </row>
    <row r="2233" spans="1:3" x14ac:dyDescent="0.25">
      <c r="A2233">
        <v>23</v>
      </c>
      <c r="B2233">
        <v>49</v>
      </c>
      <c r="C2233">
        <v>3.0000000000000471E-2</v>
      </c>
    </row>
    <row r="2234" spans="1:3" x14ac:dyDescent="0.25">
      <c r="A2234">
        <v>49</v>
      </c>
      <c r="B2234">
        <v>23</v>
      </c>
      <c r="C2234">
        <v>3.0000000000000471E-2</v>
      </c>
    </row>
    <row r="2235" spans="1:3" x14ac:dyDescent="0.25">
      <c r="A2235">
        <v>13</v>
      </c>
      <c r="B2235">
        <v>17</v>
      </c>
      <c r="C2235">
        <v>3.0000000000000249E-2</v>
      </c>
    </row>
    <row r="2236" spans="1:3" x14ac:dyDescent="0.25">
      <c r="A2236">
        <v>17</v>
      </c>
      <c r="B2236">
        <v>13</v>
      </c>
      <c r="C2236">
        <v>3.0000000000000249E-2</v>
      </c>
    </row>
    <row r="2237" spans="1:3" x14ac:dyDescent="0.25">
      <c r="A2237">
        <v>21</v>
      </c>
      <c r="B2237">
        <v>28</v>
      </c>
      <c r="C2237">
        <v>3.0000000000000027E-2</v>
      </c>
    </row>
    <row r="2238" spans="1:3" x14ac:dyDescent="0.25">
      <c r="A2238">
        <v>28</v>
      </c>
      <c r="B2238">
        <v>21</v>
      </c>
      <c r="C2238">
        <v>3.0000000000000027E-2</v>
      </c>
    </row>
    <row r="2239" spans="1:3" x14ac:dyDescent="0.25">
      <c r="A2239">
        <v>44</v>
      </c>
      <c r="B2239">
        <v>45</v>
      </c>
      <c r="C2239">
        <v>3.0000000000000027E-2</v>
      </c>
    </row>
    <row r="2240" spans="1:3" x14ac:dyDescent="0.25">
      <c r="A2240">
        <v>45</v>
      </c>
      <c r="B2240">
        <v>44</v>
      </c>
      <c r="C2240">
        <v>3.0000000000000027E-2</v>
      </c>
    </row>
    <row r="2241" spans="1:3" x14ac:dyDescent="0.25">
      <c r="A2241">
        <v>20</v>
      </c>
      <c r="B2241">
        <v>23</v>
      </c>
      <c r="C2241">
        <v>2.9999999999999916E-2</v>
      </c>
    </row>
    <row r="2242" spans="1:3" x14ac:dyDescent="0.25">
      <c r="A2242">
        <v>23</v>
      </c>
      <c r="B2242">
        <v>20</v>
      </c>
      <c r="C2242">
        <v>2.9999999999999916E-2</v>
      </c>
    </row>
    <row r="2243" spans="1:3" x14ac:dyDescent="0.25">
      <c r="A2243">
        <v>24</v>
      </c>
      <c r="B2243">
        <v>45</v>
      </c>
      <c r="C2243">
        <v>2.9999999999999805E-2</v>
      </c>
    </row>
    <row r="2244" spans="1:3" x14ac:dyDescent="0.25">
      <c r="A2244">
        <v>30</v>
      </c>
      <c r="B2244">
        <v>49</v>
      </c>
      <c r="C2244">
        <v>2.9999999999999805E-2</v>
      </c>
    </row>
    <row r="2245" spans="1:3" x14ac:dyDescent="0.25">
      <c r="A2245">
        <v>45</v>
      </c>
      <c r="B2245">
        <v>24</v>
      </c>
      <c r="C2245">
        <v>2.9999999999999805E-2</v>
      </c>
    </row>
    <row r="2246" spans="1:3" x14ac:dyDescent="0.25">
      <c r="A2246">
        <v>49</v>
      </c>
      <c r="B2246">
        <v>30</v>
      </c>
      <c r="C2246">
        <v>2.9999999999999805E-2</v>
      </c>
    </row>
    <row r="2247" spans="1:3" x14ac:dyDescent="0.25">
      <c r="A2247">
        <v>25</v>
      </c>
      <c r="B2247">
        <v>26</v>
      </c>
      <c r="C2247">
        <v>2.9999999999999583E-2</v>
      </c>
    </row>
    <row r="2248" spans="1:3" x14ac:dyDescent="0.25">
      <c r="A2248">
        <v>26</v>
      </c>
      <c r="B2248">
        <v>25</v>
      </c>
      <c r="C2248">
        <v>2.9999999999999583E-2</v>
      </c>
    </row>
    <row r="2249" spans="1:3" x14ac:dyDescent="0.25">
      <c r="A2249">
        <v>7</v>
      </c>
      <c r="B2249">
        <v>39</v>
      </c>
      <c r="C2249">
        <v>2.9999999999999361E-2</v>
      </c>
    </row>
    <row r="2250" spans="1:3" x14ac:dyDescent="0.25">
      <c r="A2250">
        <v>35</v>
      </c>
      <c r="B2250">
        <v>49</v>
      </c>
      <c r="C2250">
        <v>2.9999999999999361E-2</v>
      </c>
    </row>
    <row r="2251" spans="1:3" x14ac:dyDescent="0.25">
      <c r="A2251">
        <v>39</v>
      </c>
      <c r="B2251">
        <v>7</v>
      </c>
      <c r="C2251">
        <v>2.9999999999999361E-2</v>
      </c>
    </row>
    <row r="2252" spans="1:3" x14ac:dyDescent="0.25">
      <c r="A2252">
        <v>49</v>
      </c>
      <c r="B2252">
        <v>35</v>
      </c>
      <c r="C2252">
        <v>2.9999999999999361E-2</v>
      </c>
    </row>
    <row r="2253" spans="1:3" x14ac:dyDescent="0.25">
      <c r="A2253">
        <v>9</v>
      </c>
      <c r="B2253">
        <v>48</v>
      </c>
      <c r="C2253">
        <v>2.9999999999999249E-2</v>
      </c>
    </row>
    <row r="2254" spans="1:3" x14ac:dyDescent="0.25">
      <c r="A2254">
        <v>48</v>
      </c>
      <c r="B2254">
        <v>9</v>
      </c>
      <c r="C2254">
        <v>2.9999999999999249E-2</v>
      </c>
    </row>
    <row r="2255" spans="1:3" x14ac:dyDescent="0.25">
      <c r="A2255">
        <v>2</v>
      </c>
      <c r="B2255">
        <v>9</v>
      </c>
      <c r="C2255">
        <v>2.9999999999996585E-2</v>
      </c>
    </row>
    <row r="2256" spans="1:3" x14ac:dyDescent="0.25">
      <c r="A2256">
        <v>9</v>
      </c>
      <c r="B2256">
        <v>2</v>
      </c>
      <c r="C2256">
        <v>2.9999999999996585E-2</v>
      </c>
    </row>
    <row r="2257" spans="1:3" x14ac:dyDescent="0.25">
      <c r="A2257">
        <v>25</v>
      </c>
      <c r="B2257">
        <v>28</v>
      </c>
      <c r="C2257">
        <v>2.9999999999996252E-2</v>
      </c>
    </row>
    <row r="2258" spans="1:3" x14ac:dyDescent="0.25">
      <c r="A2258">
        <v>28</v>
      </c>
      <c r="B2258">
        <v>25</v>
      </c>
      <c r="C2258">
        <v>2.9999999999996252E-2</v>
      </c>
    </row>
    <row r="2259" spans="1:3" x14ac:dyDescent="0.25">
      <c r="A2259">
        <v>3</v>
      </c>
      <c r="B2259">
        <v>33</v>
      </c>
      <c r="C2259">
        <v>2.999999999999492E-2</v>
      </c>
    </row>
    <row r="2260" spans="1:3" x14ac:dyDescent="0.25">
      <c r="A2260">
        <v>33</v>
      </c>
      <c r="B2260">
        <v>3</v>
      </c>
      <c r="C2260">
        <v>2.999999999999492E-2</v>
      </c>
    </row>
    <row r="2261" spans="1:3" x14ac:dyDescent="0.25">
      <c r="A2261">
        <v>7</v>
      </c>
      <c r="B2261">
        <v>41</v>
      </c>
      <c r="C2261">
        <v>2.0000000000008011E-2</v>
      </c>
    </row>
    <row r="2262" spans="1:3" x14ac:dyDescent="0.25">
      <c r="A2262">
        <v>41</v>
      </c>
      <c r="B2262">
        <v>7</v>
      </c>
      <c r="C2262">
        <v>2.0000000000008011E-2</v>
      </c>
    </row>
    <row r="2263" spans="1:3" x14ac:dyDescent="0.25">
      <c r="A2263">
        <v>7</v>
      </c>
      <c r="B2263">
        <v>23</v>
      </c>
      <c r="C2263">
        <v>2.0000000000006901E-2</v>
      </c>
    </row>
    <row r="2264" spans="1:3" x14ac:dyDescent="0.25">
      <c r="A2264">
        <v>23</v>
      </c>
      <c r="B2264">
        <v>7</v>
      </c>
      <c r="C2264">
        <v>2.0000000000006901E-2</v>
      </c>
    </row>
    <row r="2265" spans="1:3" x14ac:dyDescent="0.25">
      <c r="A2265">
        <v>7</v>
      </c>
      <c r="B2265">
        <v>35</v>
      </c>
      <c r="C2265">
        <v>2.0000000000004015E-2</v>
      </c>
    </row>
    <row r="2266" spans="1:3" x14ac:dyDescent="0.25">
      <c r="A2266">
        <v>35</v>
      </c>
      <c r="B2266">
        <v>7</v>
      </c>
      <c r="C2266">
        <v>2.0000000000004015E-2</v>
      </c>
    </row>
    <row r="2267" spans="1:3" x14ac:dyDescent="0.25">
      <c r="A2267">
        <v>8</v>
      </c>
      <c r="B2267">
        <v>22</v>
      </c>
      <c r="C2267">
        <v>2.0000000000001794E-2</v>
      </c>
    </row>
    <row r="2268" spans="1:3" x14ac:dyDescent="0.25">
      <c r="A2268">
        <v>22</v>
      </c>
      <c r="B2268">
        <v>8</v>
      </c>
      <c r="C2268">
        <v>2.0000000000001794E-2</v>
      </c>
    </row>
    <row r="2269" spans="1:3" x14ac:dyDescent="0.25">
      <c r="A2269">
        <v>3</v>
      </c>
      <c r="B2269">
        <v>17</v>
      </c>
      <c r="C2269">
        <v>2.000000000000135E-2</v>
      </c>
    </row>
    <row r="2270" spans="1:3" x14ac:dyDescent="0.25">
      <c r="A2270">
        <v>17</v>
      </c>
      <c r="B2270">
        <v>3</v>
      </c>
      <c r="C2270">
        <v>2.000000000000135E-2</v>
      </c>
    </row>
    <row r="2271" spans="1:3" x14ac:dyDescent="0.25">
      <c r="A2271">
        <v>20</v>
      </c>
      <c r="B2271">
        <v>30</v>
      </c>
      <c r="C2271">
        <v>2.0000000000000351E-2</v>
      </c>
    </row>
    <row r="2272" spans="1:3" x14ac:dyDescent="0.25">
      <c r="A2272">
        <v>30</v>
      </c>
      <c r="B2272">
        <v>20</v>
      </c>
      <c r="C2272">
        <v>2.0000000000000351E-2</v>
      </c>
    </row>
    <row r="2273" spans="1:3" x14ac:dyDescent="0.25">
      <c r="A2273">
        <v>15</v>
      </c>
      <c r="B2273">
        <v>21</v>
      </c>
      <c r="C2273">
        <v>2.000000000000024E-2</v>
      </c>
    </row>
    <row r="2274" spans="1:3" x14ac:dyDescent="0.25">
      <c r="A2274">
        <v>21</v>
      </c>
      <c r="B2274">
        <v>15</v>
      </c>
      <c r="C2274">
        <v>2.000000000000024E-2</v>
      </c>
    </row>
    <row r="2275" spans="1:3" x14ac:dyDescent="0.25">
      <c r="A2275">
        <v>16</v>
      </c>
      <c r="B2275">
        <v>36</v>
      </c>
      <c r="C2275">
        <v>2.0000000000000018E-2</v>
      </c>
    </row>
    <row r="2276" spans="1:3" x14ac:dyDescent="0.25">
      <c r="A2276">
        <v>36</v>
      </c>
      <c r="B2276">
        <v>16</v>
      </c>
      <c r="C2276">
        <v>2.0000000000000018E-2</v>
      </c>
    </row>
    <row r="2277" spans="1:3" x14ac:dyDescent="0.25">
      <c r="A2277">
        <v>20</v>
      </c>
      <c r="B2277">
        <v>35</v>
      </c>
      <c r="C2277">
        <v>1.9999999999999907E-2</v>
      </c>
    </row>
    <row r="2278" spans="1:3" x14ac:dyDescent="0.25">
      <c r="A2278">
        <v>20</v>
      </c>
      <c r="B2278">
        <v>39</v>
      </c>
      <c r="C2278">
        <v>1.9999999999999907E-2</v>
      </c>
    </row>
    <row r="2279" spans="1:3" x14ac:dyDescent="0.25">
      <c r="A2279">
        <v>35</v>
      </c>
      <c r="B2279">
        <v>20</v>
      </c>
      <c r="C2279">
        <v>1.9999999999999907E-2</v>
      </c>
    </row>
    <row r="2280" spans="1:3" x14ac:dyDescent="0.25">
      <c r="A2280">
        <v>39</v>
      </c>
      <c r="B2280">
        <v>20</v>
      </c>
      <c r="C2280">
        <v>1.9999999999999907E-2</v>
      </c>
    </row>
    <row r="2281" spans="1:3" x14ac:dyDescent="0.25">
      <c r="A2281">
        <v>17</v>
      </c>
      <c r="B2281">
        <v>26</v>
      </c>
      <c r="C2281">
        <v>1.9999999999999796E-2</v>
      </c>
    </row>
    <row r="2282" spans="1:3" x14ac:dyDescent="0.25">
      <c r="A2282">
        <v>26</v>
      </c>
      <c r="B2282">
        <v>17</v>
      </c>
      <c r="C2282">
        <v>1.9999999999999796E-2</v>
      </c>
    </row>
    <row r="2283" spans="1:3" x14ac:dyDescent="0.25">
      <c r="A2283">
        <v>29</v>
      </c>
      <c r="B2283">
        <v>37</v>
      </c>
      <c r="C2283">
        <v>1.9999999999999574E-2</v>
      </c>
    </row>
    <row r="2284" spans="1:3" x14ac:dyDescent="0.25">
      <c r="A2284">
        <v>37</v>
      </c>
      <c r="B2284">
        <v>29</v>
      </c>
      <c r="C2284">
        <v>1.9999999999999574E-2</v>
      </c>
    </row>
    <row r="2285" spans="1:3" x14ac:dyDescent="0.25">
      <c r="A2285">
        <v>21</v>
      </c>
      <c r="B2285">
        <v>48</v>
      </c>
      <c r="C2285">
        <v>1.9999999999999352E-2</v>
      </c>
    </row>
    <row r="2286" spans="1:3" x14ac:dyDescent="0.25">
      <c r="A2286">
        <v>48</v>
      </c>
      <c r="B2286">
        <v>21</v>
      </c>
      <c r="C2286">
        <v>1.9999999999999352E-2</v>
      </c>
    </row>
    <row r="2287" spans="1:3" x14ac:dyDescent="0.25">
      <c r="A2287">
        <v>9</v>
      </c>
      <c r="B2287">
        <v>50</v>
      </c>
      <c r="C2287">
        <v>1.9999999999998574E-2</v>
      </c>
    </row>
    <row r="2288" spans="1:3" x14ac:dyDescent="0.25">
      <c r="A2288">
        <v>50</v>
      </c>
      <c r="B2288">
        <v>9</v>
      </c>
      <c r="C2288">
        <v>1.9999999999998574E-2</v>
      </c>
    </row>
    <row r="2289" spans="1:3" x14ac:dyDescent="0.25">
      <c r="A2289">
        <v>21</v>
      </c>
      <c r="B2289">
        <v>47</v>
      </c>
      <c r="C2289">
        <v>1.9999999999998463E-2</v>
      </c>
    </row>
    <row r="2290" spans="1:3" x14ac:dyDescent="0.25">
      <c r="A2290">
        <v>47</v>
      </c>
      <c r="B2290">
        <v>21</v>
      </c>
      <c r="C2290">
        <v>1.9999999999998463E-2</v>
      </c>
    </row>
    <row r="2291" spans="1:3" x14ac:dyDescent="0.25">
      <c r="A2291">
        <v>17</v>
      </c>
      <c r="B2291">
        <v>50</v>
      </c>
      <c r="C2291">
        <v>1.9999999999997797E-2</v>
      </c>
    </row>
    <row r="2292" spans="1:3" x14ac:dyDescent="0.25">
      <c r="A2292">
        <v>50</v>
      </c>
      <c r="B2292">
        <v>17</v>
      </c>
      <c r="C2292">
        <v>1.9999999999997797E-2</v>
      </c>
    </row>
    <row r="2293" spans="1:3" x14ac:dyDescent="0.25">
      <c r="A2293">
        <v>7</v>
      </c>
      <c r="B2293">
        <v>30</v>
      </c>
      <c r="C2293">
        <v>1.9999999999997353E-2</v>
      </c>
    </row>
    <row r="2294" spans="1:3" x14ac:dyDescent="0.25">
      <c r="A2294">
        <v>30</v>
      </c>
      <c r="B2294">
        <v>7</v>
      </c>
      <c r="C2294">
        <v>1.9999999999997353E-2</v>
      </c>
    </row>
    <row r="2295" spans="1:3" x14ac:dyDescent="0.25">
      <c r="A2295">
        <v>33</v>
      </c>
      <c r="B2295">
        <v>50</v>
      </c>
      <c r="C2295">
        <v>1.9999999999996909E-2</v>
      </c>
    </row>
    <row r="2296" spans="1:3" x14ac:dyDescent="0.25">
      <c r="A2296">
        <v>50</v>
      </c>
      <c r="B2296">
        <v>33</v>
      </c>
      <c r="C2296">
        <v>1.9999999999996909E-2</v>
      </c>
    </row>
    <row r="2297" spans="1:3" x14ac:dyDescent="0.25">
      <c r="A2297">
        <v>14</v>
      </c>
      <c r="B2297">
        <v>28</v>
      </c>
      <c r="C2297">
        <v>1.9999999999992468E-2</v>
      </c>
    </row>
    <row r="2298" spans="1:3" x14ac:dyDescent="0.25">
      <c r="A2298">
        <v>28</v>
      </c>
      <c r="B2298">
        <v>14</v>
      </c>
      <c r="C2298">
        <v>1.9999999999992468E-2</v>
      </c>
    </row>
    <row r="2299" spans="1:3" x14ac:dyDescent="0.25">
      <c r="A2299">
        <v>10</v>
      </c>
      <c r="B2299">
        <v>42</v>
      </c>
      <c r="C2299">
        <v>1.0000000000005116E-2</v>
      </c>
    </row>
    <row r="2300" spans="1:3" x14ac:dyDescent="0.25">
      <c r="A2300">
        <v>42</v>
      </c>
      <c r="B2300">
        <v>10</v>
      </c>
      <c r="C2300">
        <v>1.0000000000005116E-2</v>
      </c>
    </row>
    <row r="2301" spans="1:3" x14ac:dyDescent="0.25">
      <c r="A2301">
        <v>28</v>
      </c>
      <c r="B2301">
        <v>33</v>
      </c>
      <c r="C2301">
        <v>1.0000000000002451E-2</v>
      </c>
    </row>
    <row r="2302" spans="1:3" x14ac:dyDescent="0.25">
      <c r="A2302">
        <v>33</v>
      </c>
      <c r="B2302">
        <v>28</v>
      </c>
      <c r="C2302">
        <v>1.0000000000002451E-2</v>
      </c>
    </row>
    <row r="2303" spans="1:3" x14ac:dyDescent="0.25">
      <c r="A2303">
        <v>37</v>
      </c>
      <c r="B2303">
        <v>41</v>
      </c>
      <c r="C2303">
        <v>1.0000000000001119E-2</v>
      </c>
    </row>
    <row r="2304" spans="1:3" x14ac:dyDescent="0.25">
      <c r="A2304">
        <v>41</v>
      </c>
      <c r="B2304">
        <v>37</v>
      </c>
      <c r="C2304">
        <v>1.0000000000001119E-2</v>
      </c>
    </row>
    <row r="2305" spans="1:3" x14ac:dyDescent="0.25">
      <c r="A2305">
        <v>7</v>
      </c>
      <c r="B2305">
        <v>34</v>
      </c>
      <c r="C2305">
        <v>1.0000000000000675E-2</v>
      </c>
    </row>
    <row r="2306" spans="1:3" x14ac:dyDescent="0.25">
      <c r="A2306">
        <v>34</v>
      </c>
      <c r="B2306">
        <v>7</v>
      </c>
      <c r="C2306">
        <v>1.0000000000000675E-2</v>
      </c>
    </row>
    <row r="2307" spans="1:3" x14ac:dyDescent="0.25">
      <c r="A2307">
        <v>3</v>
      </c>
      <c r="B2307">
        <v>9</v>
      </c>
      <c r="C2307">
        <v>1.0000000000000564E-2</v>
      </c>
    </row>
    <row r="2308" spans="1:3" x14ac:dyDescent="0.25">
      <c r="A2308">
        <v>9</v>
      </c>
      <c r="B2308">
        <v>3</v>
      </c>
      <c r="C2308">
        <v>1.0000000000000564E-2</v>
      </c>
    </row>
    <row r="2309" spans="1:3" x14ac:dyDescent="0.25">
      <c r="A2309">
        <v>21</v>
      </c>
      <c r="B2309">
        <v>31</v>
      </c>
      <c r="C2309">
        <v>1.0000000000000453E-2</v>
      </c>
    </row>
    <row r="2310" spans="1:3" x14ac:dyDescent="0.25">
      <c r="A2310">
        <v>31</v>
      </c>
      <c r="B2310">
        <v>21</v>
      </c>
      <c r="C2310">
        <v>1.0000000000000453E-2</v>
      </c>
    </row>
    <row r="2311" spans="1:3" x14ac:dyDescent="0.25">
      <c r="A2311">
        <v>22</v>
      </c>
      <c r="B2311">
        <v>32</v>
      </c>
      <c r="C2311">
        <v>1.0000000000000231E-2</v>
      </c>
    </row>
    <row r="2312" spans="1:3" x14ac:dyDescent="0.25">
      <c r="A2312">
        <v>27</v>
      </c>
      <c r="B2312">
        <v>42</v>
      </c>
      <c r="C2312">
        <v>1.0000000000000231E-2</v>
      </c>
    </row>
    <row r="2313" spans="1:3" x14ac:dyDescent="0.25">
      <c r="A2313">
        <v>32</v>
      </c>
      <c r="B2313">
        <v>22</v>
      </c>
      <c r="C2313">
        <v>1.0000000000000231E-2</v>
      </c>
    </row>
    <row r="2314" spans="1:3" x14ac:dyDescent="0.25">
      <c r="A2314">
        <v>32</v>
      </c>
      <c r="B2314">
        <v>42</v>
      </c>
      <c r="C2314">
        <v>1.0000000000000231E-2</v>
      </c>
    </row>
    <row r="2315" spans="1:3" x14ac:dyDescent="0.25">
      <c r="A2315">
        <v>38</v>
      </c>
      <c r="B2315">
        <v>49</v>
      </c>
      <c r="C2315">
        <v>1.0000000000000231E-2</v>
      </c>
    </row>
    <row r="2316" spans="1:3" x14ac:dyDescent="0.25">
      <c r="A2316">
        <v>41</v>
      </c>
      <c r="B2316">
        <v>49</v>
      </c>
      <c r="C2316">
        <v>1.0000000000000231E-2</v>
      </c>
    </row>
    <row r="2317" spans="1:3" x14ac:dyDescent="0.25">
      <c r="A2317">
        <v>42</v>
      </c>
      <c r="B2317">
        <v>27</v>
      </c>
      <c r="C2317">
        <v>1.0000000000000231E-2</v>
      </c>
    </row>
    <row r="2318" spans="1:3" x14ac:dyDescent="0.25">
      <c r="A2318">
        <v>42</v>
      </c>
      <c r="B2318">
        <v>32</v>
      </c>
      <c r="C2318">
        <v>1.0000000000000231E-2</v>
      </c>
    </row>
    <row r="2319" spans="1:3" x14ac:dyDescent="0.25">
      <c r="A2319">
        <v>49</v>
      </c>
      <c r="B2319">
        <v>38</v>
      </c>
      <c r="C2319">
        <v>1.0000000000000231E-2</v>
      </c>
    </row>
    <row r="2320" spans="1:3" x14ac:dyDescent="0.25">
      <c r="A2320">
        <v>49</v>
      </c>
      <c r="B2320">
        <v>41</v>
      </c>
      <c r="C2320">
        <v>1.0000000000000231E-2</v>
      </c>
    </row>
    <row r="2321" spans="1:3" x14ac:dyDescent="0.25">
      <c r="A2321">
        <v>20</v>
      </c>
      <c r="B2321">
        <v>29</v>
      </c>
      <c r="C2321">
        <v>1.000000000000012E-2</v>
      </c>
    </row>
    <row r="2322" spans="1:3" x14ac:dyDescent="0.25">
      <c r="A2322">
        <v>29</v>
      </c>
      <c r="B2322">
        <v>20</v>
      </c>
      <c r="C2322">
        <v>1.000000000000012E-2</v>
      </c>
    </row>
    <row r="2323" spans="1:3" x14ac:dyDescent="0.25">
      <c r="A2323">
        <v>26</v>
      </c>
      <c r="B2323">
        <v>46</v>
      </c>
      <c r="C2323">
        <v>1.0000000000000009E-2</v>
      </c>
    </row>
    <row r="2324" spans="1:3" x14ac:dyDescent="0.25">
      <c r="A2324">
        <v>46</v>
      </c>
      <c r="B2324">
        <v>26</v>
      </c>
      <c r="C2324">
        <v>1.0000000000000009E-2</v>
      </c>
    </row>
    <row r="2325" spans="1:3" x14ac:dyDescent="0.25">
      <c r="A2325">
        <v>5</v>
      </c>
      <c r="B2325">
        <v>19</v>
      </c>
      <c r="C2325">
        <v>9.9999999999997868E-3</v>
      </c>
    </row>
    <row r="2326" spans="1:3" x14ac:dyDescent="0.25">
      <c r="A2326">
        <v>15</v>
      </c>
      <c r="B2326">
        <v>16</v>
      </c>
      <c r="C2326">
        <v>9.9999999999997868E-3</v>
      </c>
    </row>
    <row r="2327" spans="1:3" x14ac:dyDescent="0.25">
      <c r="A2327">
        <v>16</v>
      </c>
      <c r="B2327">
        <v>15</v>
      </c>
      <c r="C2327">
        <v>9.9999999999997868E-3</v>
      </c>
    </row>
    <row r="2328" spans="1:3" x14ac:dyDescent="0.25">
      <c r="A2328">
        <v>19</v>
      </c>
      <c r="B2328">
        <v>5</v>
      </c>
      <c r="C2328">
        <v>9.9999999999997868E-3</v>
      </c>
    </row>
    <row r="2329" spans="1:3" x14ac:dyDescent="0.25">
      <c r="A2329">
        <v>22</v>
      </c>
      <c r="B2329">
        <v>27</v>
      </c>
      <c r="C2329">
        <v>9.9999999999997868E-3</v>
      </c>
    </row>
    <row r="2330" spans="1:3" x14ac:dyDescent="0.25">
      <c r="A2330">
        <v>27</v>
      </c>
      <c r="B2330">
        <v>22</v>
      </c>
      <c r="C2330">
        <v>9.9999999999997868E-3</v>
      </c>
    </row>
    <row r="2331" spans="1:3" x14ac:dyDescent="0.25">
      <c r="A2331">
        <v>20</v>
      </c>
      <c r="B2331">
        <v>38</v>
      </c>
      <c r="C2331">
        <v>9.9999999999996758E-3</v>
      </c>
    </row>
    <row r="2332" spans="1:3" x14ac:dyDescent="0.25">
      <c r="A2332">
        <v>20</v>
      </c>
      <c r="B2332">
        <v>41</v>
      </c>
      <c r="C2332">
        <v>9.9999999999996758E-3</v>
      </c>
    </row>
    <row r="2333" spans="1:3" x14ac:dyDescent="0.25">
      <c r="A2333">
        <v>38</v>
      </c>
      <c r="B2333">
        <v>20</v>
      </c>
      <c r="C2333">
        <v>9.9999999999996758E-3</v>
      </c>
    </row>
    <row r="2334" spans="1:3" x14ac:dyDescent="0.25">
      <c r="A2334">
        <v>41</v>
      </c>
      <c r="B2334">
        <v>20</v>
      </c>
      <c r="C2334">
        <v>9.9999999999996758E-3</v>
      </c>
    </row>
    <row r="2335" spans="1:3" x14ac:dyDescent="0.25">
      <c r="A2335">
        <v>25</v>
      </c>
      <c r="B2335">
        <v>48</v>
      </c>
      <c r="C2335">
        <v>9.9999999999993427E-3</v>
      </c>
    </row>
    <row r="2336" spans="1:3" x14ac:dyDescent="0.25">
      <c r="A2336">
        <v>48</v>
      </c>
      <c r="B2336">
        <v>25</v>
      </c>
      <c r="C2336">
        <v>9.9999999999993427E-3</v>
      </c>
    </row>
    <row r="2337" spans="1:3" x14ac:dyDescent="0.25">
      <c r="A2337">
        <v>33</v>
      </c>
      <c r="B2337">
        <v>47</v>
      </c>
      <c r="C2337">
        <v>9.9999999999988987E-3</v>
      </c>
    </row>
    <row r="2338" spans="1:3" x14ac:dyDescent="0.25">
      <c r="A2338">
        <v>47</v>
      </c>
      <c r="B2338">
        <v>33</v>
      </c>
      <c r="C2338">
        <v>9.9999999999988987E-3</v>
      </c>
    </row>
    <row r="2339" spans="1:3" x14ac:dyDescent="0.25">
      <c r="A2339">
        <v>2</v>
      </c>
      <c r="B2339">
        <v>25</v>
      </c>
      <c r="C2339">
        <v>9.9999999999966782E-3</v>
      </c>
    </row>
    <row r="2340" spans="1:3" x14ac:dyDescent="0.25">
      <c r="A2340">
        <v>25</v>
      </c>
      <c r="B2340">
        <v>2</v>
      </c>
      <c r="C2340">
        <v>9.9999999999966782E-3</v>
      </c>
    </row>
    <row r="2341" spans="1:3" x14ac:dyDescent="0.25">
      <c r="A2341">
        <v>14</v>
      </c>
      <c r="B2341">
        <v>47</v>
      </c>
      <c r="C2341">
        <v>9.9999999999944578E-3</v>
      </c>
    </row>
    <row r="2342" spans="1:3" x14ac:dyDescent="0.25">
      <c r="A2342">
        <v>47</v>
      </c>
      <c r="B2342">
        <v>14</v>
      </c>
      <c r="C2342">
        <v>9.9999999999944578E-3</v>
      </c>
    </row>
    <row r="2343" spans="1:3" x14ac:dyDescent="0.25">
      <c r="A2343">
        <v>11</v>
      </c>
      <c r="B2343">
        <v>44</v>
      </c>
      <c r="C2343">
        <v>9.9999999999920153E-3</v>
      </c>
    </row>
    <row r="2344" spans="1:3" x14ac:dyDescent="0.25">
      <c r="A2344">
        <v>44</v>
      </c>
      <c r="B2344">
        <v>11</v>
      </c>
      <c r="C2344">
        <v>9.9999999999920153E-3</v>
      </c>
    </row>
    <row r="2345" spans="1:3" x14ac:dyDescent="0.25">
      <c r="A2345">
        <v>4</v>
      </c>
      <c r="B2345">
        <v>21</v>
      </c>
      <c r="C2345">
        <v>9.9999999999897948E-3</v>
      </c>
    </row>
    <row r="2346" spans="1:3" x14ac:dyDescent="0.25">
      <c r="A2346">
        <v>21</v>
      </c>
      <c r="B2346">
        <v>4</v>
      </c>
      <c r="C2346">
        <v>9.9999999999897948E-3</v>
      </c>
    </row>
    <row r="2347" spans="1:3" x14ac:dyDescent="0.25">
      <c r="A2347">
        <v>6</v>
      </c>
      <c r="B2347">
        <v>11</v>
      </c>
      <c r="C2347">
        <v>1.4210854715202004E-14</v>
      </c>
    </row>
    <row r="2348" spans="1:3" x14ac:dyDescent="0.25">
      <c r="A2348">
        <v>11</v>
      </c>
      <c r="B2348">
        <v>6</v>
      </c>
      <c r="C2348">
        <v>1.4210854715202004E-14</v>
      </c>
    </row>
    <row r="2349" spans="1:3" x14ac:dyDescent="0.25">
      <c r="A2349">
        <v>12</v>
      </c>
      <c r="B2349">
        <v>17</v>
      </c>
      <c r="C2349">
        <v>5.3290705182007514E-15</v>
      </c>
    </row>
    <row r="2350" spans="1:3" x14ac:dyDescent="0.25">
      <c r="A2350">
        <v>17</v>
      </c>
      <c r="B2350">
        <v>12</v>
      </c>
      <c r="C2350">
        <v>5.3290705182007514E-15</v>
      </c>
    </row>
    <row r="2351" spans="1:3" x14ac:dyDescent="0.25">
      <c r="A2351">
        <v>2</v>
      </c>
      <c r="B2351">
        <v>33</v>
      </c>
      <c r="C2351">
        <v>8.8817841970012523E-16</v>
      </c>
    </row>
    <row r="2352" spans="1:3" x14ac:dyDescent="0.25">
      <c r="A2352">
        <v>33</v>
      </c>
      <c r="B2352">
        <v>2</v>
      </c>
      <c r="C2352">
        <v>8.8817841970012523E-16</v>
      </c>
    </row>
    <row r="2353" spans="1:3" x14ac:dyDescent="0.25">
      <c r="A2353">
        <v>9</v>
      </c>
      <c r="B2353">
        <v>40</v>
      </c>
      <c r="C2353">
        <v>7.7715611723760958E-16</v>
      </c>
    </row>
    <row r="2354" spans="1:3" x14ac:dyDescent="0.25">
      <c r="A2354">
        <v>40</v>
      </c>
      <c r="B2354">
        <v>9</v>
      </c>
      <c r="C2354">
        <v>7.7715611723760958E-16</v>
      </c>
    </row>
    <row r="2355" spans="1:3" x14ac:dyDescent="0.25">
      <c r="A2355">
        <v>7</v>
      </c>
      <c r="B2355">
        <v>38</v>
      </c>
      <c r="C2355">
        <v>4.4408920985006262E-16</v>
      </c>
    </row>
    <row r="2356" spans="1:3" x14ac:dyDescent="0.25">
      <c r="A2356">
        <v>18</v>
      </c>
      <c r="B2356">
        <v>25</v>
      </c>
      <c r="C2356">
        <v>4.4408920985006262E-16</v>
      </c>
    </row>
    <row r="2357" spans="1:3" x14ac:dyDescent="0.25">
      <c r="A2357">
        <v>25</v>
      </c>
      <c r="B2357">
        <v>18</v>
      </c>
      <c r="C2357">
        <v>4.4408920985006262E-16</v>
      </c>
    </row>
    <row r="2358" spans="1:3" x14ac:dyDescent="0.25">
      <c r="A2358">
        <v>25</v>
      </c>
      <c r="B2358">
        <v>40</v>
      </c>
      <c r="C2358">
        <v>4.4408920985006262E-16</v>
      </c>
    </row>
    <row r="2359" spans="1:3" x14ac:dyDescent="0.25">
      <c r="A2359">
        <v>38</v>
      </c>
      <c r="B2359">
        <v>7</v>
      </c>
      <c r="C2359">
        <v>4.4408920985006262E-16</v>
      </c>
    </row>
    <row r="2360" spans="1:3" x14ac:dyDescent="0.25">
      <c r="A2360">
        <v>40</v>
      </c>
      <c r="B2360">
        <v>25</v>
      </c>
      <c r="C2360">
        <v>4.4408920985006262E-16</v>
      </c>
    </row>
    <row r="2361" spans="1:3" x14ac:dyDescent="0.25">
      <c r="A2361">
        <v>20</v>
      </c>
      <c r="B2361">
        <v>34</v>
      </c>
      <c r="C2361">
        <v>3.3306690738754696E-16</v>
      </c>
    </row>
    <row r="2362" spans="1:3" x14ac:dyDescent="0.25">
      <c r="A2362">
        <v>20</v>
      </c>
      <c r="B2362">
        <v>43</v>
      </c>
      <c r="C2362">
        <v>3.3306690738754696E-16</v>
      </c>
    </row>
    <row r="2363" spans="1:3" x14ac:dyDescent="0.25">
      <c r="A2363">
        <v>34</v>
      </c>
      <c r="B2363">
        <v>20</v>
      </c>
      <c r="C2363">
        <v>3.3306690738754696E-16</v>
      </c>
    </row>
    <row r="2364" spans="1:3" x14ac:dyDescent="0.25">
      <c r="A2364">
        <v>43</v>
      </c>
      <c r="B2364">
        <v>20</v>
      </c>
      <c r="C2364">
        <v>3.3306690738754696E-16</v>
      </c>
    </row>
    <row r="2365" spans="1:3" x14ac:dyDescent="0.25">
      <c r="A2365">
        <v>21</v>
      </c>
      <c r="B2365">
        <v>36</v>
      </c>
      <c r="C2365">
        <v>2.2204460492503131E-16</v>
      </c>
    </row>
    <row r="2366" spans="1:3" x14ac:dyDescent="0.25">
      <c r="A2366">
        <v>36</v>
      </c>
      <c r="B2366">
        <v>21</v>
      </c>
      <c r="C2366">
        <v>2.2204460492503131E-16</v>
      </c>
    </row>
    <row r="2367" spans="1:3" x14ac:dyDescent="0.25">
      <c r="A2367">
        <v>9</v>
      </c>
      <c r="B2367">
        <v>26</v>
      </c>
      <c r="C2367">
        <v>1.1102230246251565E-16</v>
      </c>
    </row>
    <row r="2368" spans="1:3" x14ac:dyDescent="0.25">
      <c r="A2368">
        <v>26</v>
      </c>
      <c r="B2368">
        <v>9</v>
      </c>
      <c r="C2368">
        <v>1.1102230246251565E-16</v>
      </c>
    </row>
    <row r="2369" spans="1:3" x14ac:dyDescent="0.25">
      <c r="A2369">
        <v>1</v>
      </c>
      <c r="B2369">
        <v>1</v>
      </c>
      <c r="C2369">
        <v>0</v>
      </c>
    </row>
    <row r="2370" spans="1:3" x14ac:dyDescent="0.25">
      <c r="A2370">
        <v>1</v>
      </c>
      <c r="B2370">
        <v>2</v>
      </c>
      <c r="C2370">
        <v>0</v>
      </c>
    </row>
    <row r="2371" spans="1:3" x14ac:dyDescent="0.25">
      <c r="A2371">
        <v>1</v>
      </c>
      <c r="B2371">
        <v>3</v>
      </c>
      <c r="C2371">
        <v>0</v>
      </c>
    </row>
    <row r="2372" spans="1:3" x14ac:dyDescent="0.25">
      <c r="A2372">
        <v>1</v>
      </c>
      <c r="B2372">
        <v>4</v>
      </c>
      <c r="C2372">
        <v>0</v>
      </c>
    </row>
    <row r="2373" spans="1:3" x14ac:dyDescent="0.25">
      <c r="A2373">
        <v>1</v>
      </c>
      <c r="B2373">
        <v>5</v>
      </c>
      <c r="C2373">
        <v>0</v>
      </c>
    </row>
    <row r="2374" spans="1:3" x14ac:dyDescent="0.25">
      <c r="A2374">
        <v>1</v>
      </c>
      <c r="B2374">
        <v>6</v>
      </c>
      <c r="C2374">
        <v>0</v>
      </c>
    </row>
    <row r="2375" spans="1:3" x14ac:dyDescent="0.25">
      <c r="A2375">
        <v>1</v>
      </c>
      <c r="B2375">
        <v>7</v>
      </c>
      <c r="C2375">
        <v>0</v>
      </c>
    </row>
    <row r="2376" spans="1:3" x14ac:dyDescent="0.25">
      <c r="A2376">
        <v>1</v>
      </c>
      <c r="B2376">
        <v>8</v>
      </c>
      <c r="C2376">
        <v>0</v>
      </c>
    </row>
    <row r="2377" spans="1:3" x14ac:dyDescent="0.25">
      <c r="A2377">
        <v>1</v>
      </c>
      <c r="B2377">
        <v>9</v>
      </c>
      <c r="C2377">
        <v>0</v>
      </c>
    </row>
    <row r="2378" spans="1:3" x14ac:dyDescent="0.25">
      <c r="A2378">
        <v>1</v>
      </c>
      <c r="B2378">
        <v>10</v>
      </c>
      <c r="C2378">
        <v>0</v>
      </c>
    </row>
    <row r="2379" spans="1:3" x14ac:dyDescent="0.25">
      <c r="A2379">
        <v>1</v>
      </c>
      <c r="B2379">
        <v>11</v>
      </c>
      <c r="C2379">
        <v>0</v>
      </c>
    </row>
    <row r="2380" spans="1:3" x14ac:dyDescent="0.25">
      <c r="A2380">
        <v>1</v>
      </c>
      <c r="B2380">
        <v>12</v>
      </c>
      <c r="C2380">
        <v>0</v>
      </c>
    </row>
    <row r="2381" spans="1:3" x14ac:dyDescent="0.25">
      <c r="A2381">
        <v>1</v>
      </c>
      <c r="B2381">
        <v>13</v>
      </c>
      <c r="C2381">
        <v>0</v>
      </c>
    </row>
    <row r="2382" spans="1:3" x14ac:dyDescent="0.25">
      <c r="A2382">
        <v>1</v>
      </c>
      <c r="B2382">
        <v>14</v>
      </c>
      <c r="C2382">
        <v>0</v>
      </c>
    </row>
    <row r="2383" spans="1:3" x14ac:dyDescent="0.25">
      <c r="A2383">
        <v>1</v>
      </c>
      <c r="B2383">
        <v>15</v>
      </c>
      <c r="C2383">
        <v>0</v>
      </c>
    </row>
    <row r="2384" spans="1:3" x14ac:dyDescent="0.25">
      <c r="A2384">
        <v>1</v>
      </c>
      <c r="B2384">
        <v>16</v>
      </c>
      <c r="C2384">
        <v>0</v>
      </c>
    </row>
    <row r="2385" spans="1:3" x14ac:dyDescent="0.25">
      <c r="A2385">
        <v>1</v>
      </c>
      <c r="B2385">
        <v>17</v>
      </c>
      <c r="C2385">
        <v>0</v>
      </c>
    </row>
    <row r="2386" spans="1:3" x14ac:dyDescent="0.25">
      <c r="A2386">
        <v>1</v>
      </c>
      <c r="B2386">
        <v>18</v>
      </c>
      <c r="C2386">
        <v>0</v>
      </c>
    </row>
    <row r="2387" spans="1:3" x14ac:dyDescent="0.25">
      <c r="A2387">
        <v>1</v>
      </c>
      <c r="B2387">
        <v>19</v>
      </c>
      <c r="C2387">
        <v>0</v>
      </c>
    </row>
    <row r="2388" spans="1:3" x14ac:dyDescent="0.25">
      <c r="A2388">
        <v>1</v>
      </c>
      <c r="B2388">
        <v>20</v>
      </c>
      <c r="C2388">
        <v>0</v>
      </c>
    </row>
    <row r="2389" spans="1:3" x14ac:dyDescent="0.25">
      <c r="A2389">
        <v>1</v>
      </c>
      <c r="B2389">
        <v>21</v>
      </c>
      <c r="C2389">
        <v>0</v>
      </c>
    </row>
    <row r="2390" spans="1:3" x14ac:dyDescent="0.25">
      <c r="A2390">
        <v>1</v>
      </c>
      <c r="B2390">
        <v>22</v>
      </c>
      <c r="C2390">
        <v>0</v>
      </c>
    </row>
    <row r="2391" spans="1:3" x14ac:dyDescent="0.25">
      <c r="A2391">
        <v>1</v>
      </c>
      <c r="B2391">
        <v>23</v>
      </c>
      <c r="C2391">
        <v>0</v>
      </c>
    </row>
    <row r="2392" spans="1:3" x14ac:dyDescent="0.25">
      <c r="A2392">
        <v>1</v>
      </c>
      <c r="B2392">
        <v>24</v>
      </c>
      <c r="C2392">
        <v>0</v>
      </c>
    </row>
    <row r="2393" spans="1:3" x14ac:dyDescent="0.25">
      <c r="A2393">
        <v>1</v>
      </c>
      <c r="B2393">
        <v>25</v>
      </c>
      <c r="C2393">
        <v>0</v>
      </c>
    </row>
    <row r="2394" spans="1:3" x14ac:dyDescent="0.25">
      <c r="A2394">
        <v>1</v>
      </c>
      <c r="B2394">
        <v>26</v>
      </c>
      <c r="C2394">
        <v>0</v>
      </c>
    </row>
    <row r="2395" spans="1:3" x14ac:dyDescent="0.25">
      <c r="A2395">
        <v>1</v>
      </c>
      <c r="B2395">
        <v>27</v>
      </c>
      <c r="C2395">
        <v>0</v>
      </c>
    </row>
    <row r="2396" spans="1:3" x14ac:dyDescent="0.25">
      <c r="A2396">
        <v>1</v>
      </c>
      <c r="B2396">
        <v>28</v>
      </c>
      <c r="C2396">
        <v>0</v>
      </c>
    </row>
    <row r="2397" spans="1:3" x14ac:dyDescent="0.25">
      <c r="A2397">
        <v>1</v>
      </c>
      <c r="B2397">
        <v>29</v>
      </c>
      <c r="C2397">
        <v>0</v>
      </c>
    </row>
    <row r="2398" spans="1:3" x14ac:dyDescent="0.25">
      <c r="A2398">
        <v>1</v>
      </c>
      <c r="B2398">
        <v>30</v>
      </c>
      <c r="C2398">
        <v>0</v>
      </c>
    </row>
    <row r="2399" spans="1:3" x14ac:dyDescent="0.25">
      <c r="A2399">
        <v>1</v>
      </c>
      <c r="B2399">
        <v>31</v>
      </c>
      <c r="C2399">
        <v>0</v>
      </c>
    </row>
    <row r="2400" spans="1:3" x14ac:dyDescent="0.25">
      <c r="A2400">
        <v>1</v>
      </c>
      <c r="B2400">
        <v>32</v>
      </c>
      <c r="C2400">
        <v>0</v>
      </c>
    </row>
    <row r="2401" spans="1:3" x14ac:dyDescent="0.25">
      <c r="A2401">
        <v>1</v>
      </c>
      <c r="B2401">
        <v>33</v>
      </c>
      <c r="C2401">
        <v>0</v>
      </c>
    </row>
    <row r="2402" spans="1:3" x14ac:dyDescent="0.25">
      <c r="A2402">
        <v>1</v>
      </c>
      <c r="B2402">
        <v>34</v>
      </c>
      <c r="C2402">
        <v>0</v>
      </c>
    </row>
    <row r="2403" spans="1:3" x14ac:dyDescent="0.25">
      <c r="A2403">
        <v>1</v>
      </c>
      <c r="B2403">
        <v>35</v>
      </c>
      <c r="C2403">
        <v>0</v>
      </c>
    </row>
    <row r="2404" spans="1:3" x14ac:dyDescent="0.25">
      <c r="A2404">
        <v>1</v>
      </c>
      <c r="B2404">
        <v>36</v>
      </c>
      <c r="C2404">
        <v>0</v>
      </c>
    </row>
    <row r="2405" spans="1:3" x14ac:dyDescent="0.25">
      <c r="A2405">
        <v>1</v>
      </c>
      <c r="B2405">
        <v>37</v>
      </c>
      <c r="C2405">
        <v>0</v>
      </c>
    </row>
    <row r="2406" spans="1:3" x14ac:dyDescent="0.25">
      <c r="A2406">
        <v>1</v>
      </c>
      <c r="B2406">
        <v>38</v>
      </c>
      <c r="C2406">
        <v>0</v>
      </c>
    </row>
    <row r="2407" spans="1:3" x14ac:dyDescent="0.25">
      <c r="A2407">
        <v>1</v>
      </c>
      <c r="B2407">
        <v>39</v>
      </c>
      <c r="C2407">
        <v>0</v>
      </c>
    </row>
    <row r="2408" spans="1:3" x14ac:dyDescent="0.25">
      <c r="A2408">
        <v>1</v>
      </c>
      <c r="B2408">
        <v>40</v>
      </c>
      <c r="C2408">
        <v>0</v>
      </c>
    </row>
    <row r="2409" spans="1:3" x14ac:dyDescent="0.25">
      <c r="A2409">
        <v>1</v>
      </c>
      <c r="B2409">
        <v>41</v>
      </c>
      <c r="C2409">
        <v>0</v>
      </c>
    </row>
    <row r="2410" spans="1:3" x14ac:dyDescent="0.25">
      <c r="A2410">
        <v>1</v>
      </c>
      <c r="B2410">
        <v>42</v>
      </c>
      <c r="C2410">
        <v>0</v>
      </c>
    </row>
    <row r="2411" spans="1:3" x14ac:dyDescent="0.25">
      <c r="A2411">
        <v>1</v>
      </c>
      <c r="B2411">
        <v>43</v>
      </c>
      <c r="C2411">
        <v>0</v>
      </c>
    </row>
    <row r="2412" spans="1:3" x14ac:dyDescent="0.25">
      <c r="A2412">
        <v>1</v>
      </c>
      <c r="B2412">
        <v>44</v>
      </c>
      <c r="C2412">
        <v>0</v>
      </c>
    </row>
    <row r="2413" spans="1:3" x14ac:dyDescent="0.25">
      <c r="A2413">
        <v>1</v>
      </c>
      <c r="B2413">
        <v>45</v>
      </c>
      <c r="C2413">
        <v>0</v>
      </c>
    </row>
    <row r="2414" spans="1:3" x14ac:dyDescent="0.25">
      <c r="A2414">
        <v>1</v>
      </c>
      <c r="B2414">
        <v>46</v>
      </c>
      <c r="C2414">
        <v>0</v>
      </c>
    </row>
    <row r="2415" spans="1:3" x14ac:dyDescent="0.25">
      <c r="A2415">
        <v>1</v>
      </c>
      <c r="B2415">
        <v>47</v>
      </c>
      <c r="C2415">
        <v>0</v>
      </c>
    </row>
    <row r="2416" spans="1:3" x14ac:dyDescent="0.25">
      <c r="A2416">
        <v>1</v>
      </c>
      <c r="B2416">
        <v>48</v>
      </c>
      <c r="C2416">
        <v>0</v>
      </c>
    </row>
    <row r="2417" spans="1:3" x14ac:dyDescent="0.25">
      <c r="A2417">
        <v>1</v>
      </c>
      <c r="B2417">
        <v>49</v>
      </c>
      <c r="C2417">
        <v>0</v>
      </c>
    </row>
    <row r="2418" spans="1:3" x14ac:dyDescent="0.25">
      <c r="A2418">
        <v>1</v>
      </c>
      <c r="B2418">
        <v>50</v>
      </c>
      <c r="C2418">
        <v>0</v>
      </c>
    </row>
    <row r="2419" spans="1:3" x14ac:dyDescent="0.25">
      <c r="A2419">
        <v>2</v>
      </c>
      <c r="B2419">
        <v>1</v>
      </c>
      <c r="C2419">
        <v>0</v>
      </c>
    </row>
    <row r="2420" spans="1:3" x14ac:dyDescent="0.25">
      <c r="A2420">
        <v>3</v>
      </c>
      <c r="B2420">
        <v>1</v>
      </c>
      <c r="C2420">
        <v>0</v>
      </c>
    </row>
    <row r="2421" spans="1:3" x14ac:dyDescent="0.25">
      <c r="A2421">
        <v>4</v>
      </c>
      <c r="B2421">
        <v>1</v>
      </c>
      <c r="C2421">
        <v>0</v>
      </c>
    </row>
    <row r="2422" spans="1:3" x14ac:dyDescent="0.25">
      <c r="A2422">
        <v>5</v>
      </c>
      <c r="B2422">
        <v>1</v>
      </c>
      <c r="C2422">
        <v>0</v>
      </c>
    </row>
    <row r="2423" spans="1:3" x14ac:dyDescent="0.25">
      <c r="A2423">
        <v>6</v>
      </c>
      <c r="B2423">
        <v>1</v>
      </c>
      <c r="C2423">
        <v>0</v>
      </c>
    </row>
    <row r="2424" spans="1:3" x14ac:dyDescent="0.25">
      <c r="A2424">
        <v>7</v>
      </c>
      <c r="B2424">
        <v>1</v>
      </c>
      <c r="C2424">
        <v>0</v>
      </c>
    </row>
    <row r="2425" spans="1:3" x14ac:dyDescent="0.25">
      <c r="A2425">
        <v>8</v>
      </c>
      <c r="B2425">
        <v>1</v>
      </c>
      <c r="C2425">
        <v>0</v>
      </c>
    </row>
    <row r="2426" spans="1:3" x14ac:dyDescent="0.25">
      <c r="A2426">
        <v>8</v>
      </c>
      <c r="B2426">
        <v>42</v>
      </c>
      <c r="C2426">
        <v>0</v>
      </c>
    </row>
    <row r="2427" spans="1:3" x14ac:dyDescent="0.25">
      <c r="A2427">
        <v>9</v>
      </c>
      <c r="B2427">
        <v>1</v>
      </c>
      <c r="C2427">
        <v>0</v>
      </c>
    </row>
    <row r="2428" spans="1:3" x14ac:dyDescent="0.25">
      <c r="A2428">
        <v>10</v>
      </c>
      <c r="B2428">
        <v>1</v>
      </c>
      <c r="C2428">
        <v>0</v>
      </c>
    </row>
    <row r="2429" spans="1:3" x14ac:dyDescent="0.25">
      <c r="A2429">
        <v>11</v>
      </c>
      <c r="B2429">
        <v>1</v>
      </c>
      <c r="C2429">
        <v>0</v>
      </c>
    </row>
    <row r="2430" spans="1:3" x14ac:dyDescent="0.25">
      <c r="A2430">
        <v>12</v>
      </c>
      <c r="B2430">
        <v>1</v>
      </c>
      <c r="C2430">
        <v>0</v>
      </c>
    </row>
    <row r="2431" spans="1:3" x14ac:dyDescent="0.25">
      <c r="A2431">
        <v>13</v>
      </c>
      <c r="B2431">
        <v>1</v>
      </c>
      <c r="C2431">
        <v>0</v>
      </c>
    </row>
    <row r="2432" spans="1:3" x14ac:dyDescent="0.25">
      <c r="A2432">
        <v>14</v>
      </c>
      <c r="B2432">
        <v>1</v>
      </c>
      <c r="C2432">
        <v>0</v>
      </c>
    </row>
    <row r="2433" spans="1:3" x14ac:dyDescent="0.25">
      <c r="A2433">
        <v>15</v>
      </c>
      <c r="B2433">
        <v>1</v>
      </c>
      <c r="C2433">
        <v>0</v>
      </c>
    </row>
    <row r="2434" spans="1:3" x14ac:dyDescent="0.25">
      <c r="A2434">
        <v>16</v>
      </c>
      <c r="B2434">
        <v>1</v>
      </c>
      <c r="C2434">
        <v>0</v>
      </c>
    </row>
    <row r="2435" spans="1:3" x14ac:dyDescent="0.25">
      <c r="A2435">
        <v>16</v>
      </c>
      <c r="B2435">
        <v>31</v>
      </c>
      <c r="C2435">
        <v>0</v>
      </c>
    </row>
    <row r="2436" spans="1:3" x14ac:dyDescent="0.25">
      <c r="A2436">
        <v>17</v>
      </c>
      <c r="B2436">
        <v>1</v>
      </c>
      <c r="C2436">
        <v>0</v>
      </c>
    </row>
    <row r="2437" spans="1:3" x14ac:dyDescent="0.25">
      <c r="A2437">
        <v>17</v>
      </c>
      <c r="B2437">
        <v>18</v>
      </c>
      <c r="C2437">
        <v>0</v>
      </c>
    </row>
    <row r="2438" spans="1:3" x14ac:dyDescent="0.25">
      <c r="A2438">
        <v>17</v>
      </c>
      <c r="B2438">
        <v>40</v>
      </c>
      <c r="C2438">
        <v>0</v>
      </c>
    </row>
    <row r="2439" spans="1:3" x14ac:dyDescent="0.25">
      <c r="A2439">
        <v>18</v>
      </c>
      <c r="B2439">
        <v>1</v>
      </c>
      <c r="C2439">
        <v>0</v>
      </c>
    </row>
    <row r="2440" spans="1:3" x14ac:dyDescent="0.25">
      <c r="A2440">
        <v>18</v>
      </c>
      <c r="B2440">
        <v>17</v>
      </c>
      <c r="C2440">
        <v>0</v>
      </c>
    </row>
    <row r="2441" spans="1:3" x14ac:dyDescent="0.25">
      <c r="A2441">
        <v>19</v>
      </c>
      <c r="B2441">
        <v>1</v>
      </c>
      <c r="C2441">
        <v>0</v>
      </c>
    </row>
    <row r="2442" spans="1:3" x14ac:dyDescent="0.25">
      <c r="A2442">
        <v>20</v>
      </c>
      <c r="B2442">
        <v>1</v>
      </c>
      <c r="C2442">
        <v>0</v>
      </c>
    </row>
    <row r="2443" spans="1:3" x14ac:dyDescent="0.25">
      <c r="A2443">
        <v>21</v>
      </c>
      <c r="B2443">
        <v>1</v>
      </c>
      <c r="C2443">
        <v>0</v>
      </c>
    </row>
    <row r="2444" spans="1:3" x14ac:dyDescent="0.25">
      <c r="A2444">
        <v>22</v>
      </c>
      <c r="B2444">
        <v>1</v>
      </c>
      <c r="C2444">
        <v>0</v>
      </c>
    </row>
    <row r="2445" spans="1:3" x14ac:dyDescent="0.25">
      <c r="A2445">
        <v>23</v>
      </c>
      <c r="B2445">
        <v>1</v>
      </c>
      <c r="C2445">
        <v>0</v>
      </c>
    </row>
    <row r="2446" spans="1:3" x14ac:dyDescent="0.25">
      <c r="A2446">
        <v>24</v>
      </c>
      <c r="B2446">
        <v>1</v>
      </c>
      <c r="C2446">
        <v>0</v>
      </c>
    </row>
    <row r="2447" spans="1:3" x14ac:dyDescent="0.25">
      <c r="A2447">
        <v>25</v>
      </c>
      <c r="B2447">
        <v>1</v>
      </c>
      <c r="C2447">
        <v>0</v>
      </c>
    </row>
    <row r="2448" spans="1:3" x14ac:dyDescent="0.25">
      <c r="A2448">
        <v>26</v>
      </c>
      <c r="B2448">
        <v>1</v>
      </c>
      <c r="C2448">
        <v>0</v>
      </c>
    </row>
    <row r="2449" spans="1:3" x14ac:dyDescent="0.25">
      <c r="A2449">
        <v>27</v>
      </c>
      <c r="B2449">
        <v>1</v>
      </c>
      <c r="C2449">
        <v>0</v>
      </c>
    </row>
    <row r="2450" spans="1:3" x14ac:dyDescent="0.25">
      <c r="A2450">
        <v>28</v>
      </c>
      <c r="B2450">
        <v>1</v>
      </c>
      <c r="C2450">
        <v>0</v>
      </c>
    </row>
    <row r="2451" spans="1:3" x14ac:dyDescent="0.25">
      <c r="A2451">
        <v>29</v>
      </c>
      <c r="B2451">
        <v>1</v>
      </c>
      <c r="C2451">
        <v>0</v>
      </c>
    </row>
    <row r="2452" spans="1:3" x14ac:dyDescent="0.25">
      <c r="A2452">
        <v>30</v>
      </c>
      <c r="B2452">
        <v>1</v>
      </c>
      <c r="C2452">
        <v>0</v>
      </c>
    </row>
    <row r="2453" spans="1:3" x14ac:dyDescent="0.25">
      <c r="A2453">
        <v>31</v>
      </c>
      <c r="B2453">
        <v>1</v>
      </c>
      <c r="C2453">
        <v>0</v>
      </c>
    </row>
    <row r="2454" spans="1:3" x14ac:dyDescent="0.25">
      <c r="A2454">
        <v>31</v>
      </c>
      <c r="B2454">
        <v>16</v>
      </c>
      <c r="C2454">
        <v>0</v>
      </c>
    </row>
    <row r="2455" spans="1:3" x14ac:dyDescent="0.25">
      <c r="A2455">
        <v>32</v>
      </c>
      <c r="B2455">
        <v>1</v>
      </c>
      <c r="C2455">
        <v>0</v>
      </c>
    </row>
    <row r="2456" spans="1:3" x14ac:dyDescent="0.25">
      <c r="A2456">
        <v>33</v>
      </c>
      <c r="B2456">
        <v>1</v>
      </c>
      <c r="C2456">
        <v>0</v>
      </c>
    </row>
    <row r="2457" spans="1:3" x14ac:dyDescent="0.25">
      <c r="A2457">
        <v>34</v>
      </c>
      <c r="B2457">
        <v>1</v>
      </c>
      <c r="C2457">
        <v>0</v>
      </c>
    </row>
    <row r="2458" spans="1:3" x14ac:dyDescent="0.25">
      <c r="A2458">
        <v>34</v>
      </c>
      <c r="B2458">
        <v>37</v>
      </c>
      <c r="C2458">
        <v>0</v>
      </c>
    </row>
    <row r="2459" spans="1:3" x14ac:dyDescent="0.25">
      <c r="A2459">
        <v>34</v>
      </c>
      <c r="B2459">
        <v>49</v>
      </c>
      <c r="C2459">
        <v>0</v>
      </c>
    </row>
    <row r="2460" spans="1:3" x14ac:dyDescent="0.25">
      <c r="A2460">
        <v>35</v>
      </c>
      <c r="B2460">
        <v>1</v>
      </c>
      <c r="C2460">
        <v>0</v>
      </c>
    </row>
    <row r="2461" spans="1:3" x14ac:dyDescent="0.25">
      <c r="A2461">
        <v>36</v>
      </c>
      <c r="B2461">
        <v>1</v>
      </c>
      <c r="C2461">
        <v>0</v>
      </c>
    </row>
    <row r="2462" spans="1:3" x14ac:dyDescent="0.25">
      <c r="A2462">
        <v>37</v>
      </c>
      <c r="B2462">
        <v>1</v>
      </c>
      <c r="C2462">
        <v>0</v>
      </c>
    </row>
    <row r="2463" spans="1:3" x14ac:dyDescent="0.25">
      <c r="A2463">
        <v>37</v>
      </c>
      <c r="B2463">
        <v>34</v>
      </c>
      <c r="C2463">
        <v>0</v>
      </c>
    </row>
    <row r="2464" spans="1:3" x14ac:dyDescent="0.25">
      <c r="A2464">
        <v>37</v>
      </c>
      <c r="B2464">
        <v>43</v>
      </c>
      <c r="C2464">
        <v>0</v>
      </c>
    </row>
    <row r="2465" spans="1:3" x14ac:dyDescent="0.25">
      <c r="A2465">
        <v>38</v>
      </c>
      <c r="B2465">
        <v>1</v>
      </c>
      <c r="C2465">
        <v>0</v>
      </c>
    </row>
    <row r="2466" spans="1:3" x14ac:dyDescent="0.25">
      <c r="A2466">
        <v>39</v>
      </c>
      <c r="B2466">
        <v>1</v>
      </c>
      <c r="C2466">
        <v>0</v>
      </c>
    </row>
    <row r="2467" spans="1:3" x14ac:dyDescent="0.25">
      <c r="A2467">
        <v>40</v>
      </c>
      <c r="B2467">
        <v>1</v>
      </c>
      <c r="C2467">
        <v>0</v>
      </c>
    </row>
    <row r="2468" spans="1:3" x14ac:dyDescent="0.25">
      <c r="A2468">
        <v>40</v>
      </c>
      <c r="B2468">
        <v>17</v>
      </c>
      <c r="C2468">
        <v>0</v>
      </c>
    </row>
    <row r="2469" spans="1:3" x14ac:dyDescent="0.25">
      <c r="A2469">
        <v>41</v>
      </c>
      <c r="B2469">
        <v>1</v>
      </c>
      <c r="C2469">
        <v>0</v>
      </c>
    </row>
    <row r="2470" spans="1:3" x14ac:dyDescent="0.25">
      <c r="A2470">
        <v>42</v>
      </c>
      <c r="B2470">
        <v>1</v>
      </c>
      <c r="C2470">
        <v>0</v>
      </c>
    </row>
    <row r="2471" spans="1:3" x14ac:dyDescent="0.25">
      <c r="A2471">
        <v>42</v>
      </c>
      <c r="B2471">
        <v>8</v>
      </c>
      <c r="C2471">
        <v>0</v>
      </c>
    </row>
    <row r="2472" spans="1:3" x14ac:dyDescent="0.25">
      <c r="A2472">
        <v>43</v>
      </c>
      <c r="B2472">
        <v>1</v>
      </c>
      <c r="C2472">
        <v>0</v>
      </c>
    </row>
    <row r="2473" spans="1:3" x14ac:dyDescent="0.25">
      <c r="A2473">
        <v>43</v>
      </c>
      <c r="B2473">
        <v>37</v>
      </c>
      <c r="C2473">
        <v>0</v>
      </c>
    </row>
    <row r="2474" spans="1:3" x14ac:dyDescent="0.25">
      <c r="A2474">
        <v>44</v>
      </c>
      <c r="B2474">
        <v>1</v>
      </c>
      <c r="C2474">
        <v>0</v>
      </c>
    </row>
    <row r="2475" spans="1:3" x14ac:dyDescent="0.25">
      <c r="A2475">
        <v>45</v>
      </c>
      <c r="B2475">
        <v>1</v>
      </c>
      <c r="C2475">
        <v>0</v>
      </c>
    </row>
    <row r="2476" spans="1:3" x14ac:dyDescent="0.25">
      <c r="A2476">
        <v>46</v>
      </c>
      <c r="B2476">
        <v>1</v>
      </c>
      <c r="C2476">
        <v>0</v>
      </c>
    </row>
    <row r="2477" spans="1:3" x14ac:dyDescent="0.25">
      <c r="A2477">
        <v>47</v>
      </c>
      <c r="B2477">
        <v>1</v>
      </c>
      <c r="C2477">
        <v>0</v>
      </c>
    </row>
    <row r="2478" spans="1:3" x14ac:dyDescent="0.25">
      <c r="A2478">
        <v>48</v>
      </c>
      <c r="B2478">
        <v>1</v>
      </c>
      <c r="C2478">
        <v>0</v>
      </c>
    </row>
    <row r="2479" spans="1:3" x14ac:dyDescent="0.25">
      <c r="A2479">
        <v>49</v>
      </c>
      <c r="B2479">
        <v>1</v>
      </c>
      <c r="C2479">
        <v>0</v>
      </c>
    </row>
    <row r="2480" spans="1:3" x14ac:dyDescent="0.25">
      <c r="A2480">
        <v>49</v>
      </c>
      <c r="B2480">
        <v>34</v>
      </c>
      <c r="C2480">
        <v>0</v>
      </c>
    </row>
    <row r="2481" spans="1:3" x14ac:dyDescent="0.25">
      <c r="A2481">
        <v>50</v>
      </c>
      <c r="B2481">
        <v>1</v>
      </c>
      <c r="C2481">
        <v>0</v>
      </c>
    </row>
    <row r="2482" spans="1:3" x14ac:dyDescent="0.25">
      <c r="A2482">
        <v>9</v>
      </c>
      <c r="B2482">
        <v>13</v>
      </c>
      <c r="C2482">
        <v>-1.1102230246251565E-16</v>
      </c>
    </row>
    <row r="2483" spans="1:3" x14ac:dyDescent="0.25">
      <c r="A2483">
        <v>9</v>
      </c>
      <c r="B2483">
        <v>18</v>
      </c>
      <c r="C2483">
        <v>-1.1102230246251565E-16</v>
      </c>
    </row>
    <row r="2484" spans="1:3" x14ac:dyDescent="0.25">
      <c r="A2484">
        <v>13</v>
      </c>
      <c r="B2484">
        <v>9</v>
      </c>
      <c r="C2484">
        <v>-1.1102230246251565E-16</v>
      </c>
    </row>
    <row r="2485" spans="1:3" x14ac:dyDescent="0.25">
      <c r="A2485">
        <v>18</v>
      </c>
      <c r="B2485">
        <v>9</v>
      </c>
      <c r="C2485">
        <v>-1.1102230246251565E-16</v>
      </c>
    </row>
    <row r="2486" spans="1:3" x14ac:dyDescent="0.25">
      <c r="A2486">
        <v>19</v>
      </c>
      <c r="B2486">
        <v>45</v>
      </c>
      <c r="C2486">
        <v>-4.4408920985006262E-16</v>
      </c>
    </row>
    <row r="2487" spans="1:3" x14ac:dyDescent="0.25">
      <c r="A2487">
        <v>45</v>
      </c>
      <c r="B2487">
        <v>19</v>
      </c>
      <c r="C2487">
        <v>-4.4408920985006262E-16</v>
      </c>
    </row>
    <row r="2488" spans="1:3" x14ac:dyDescent="0.25">
      <c r="A2488">
        <v>33</v>
      </c>
      <c r="B2488">
        <v>48</v>
      </c>
      <c r="C2488">
        <v>-8.8817841970012523E-16</v>
      </c>
    </row>
    <row r="2489" spans="1:3" x14ac:dyDescent="0.25">
      <c r="A2489">
        <v>48</v>
      </c>
      <c r="B2489">
        <v>33</v>
      </c>
      <c r="C2489">
        <v>-8.8817841970012523E-16</v>
      </c>
    </row>
    <row r="2490" spans="1:3" x14ac:dyDescent="0.25">
      <c r="A2490">
        <v>3</v>
      </c>
      <c r="B2490">
        <v>25</v>
      </c>
      <c r="C2490">
        <v>-1.3322676295501878E-15</v>
      </c>
    </row>
    <row r="2491" spans="1:3" x14ac:dyDescent="0.25">
      <c r="A2491">
        <v>12</v>
      </c>
      <c r="B2491">
        <v>25</v>
      </c>
      <c r="C2491">
        <v>-1.3322676295501878E-15</v>
      </c>
    </row>
    <row r="2492" spans="1:3" x14ac:dyDescent="0.25">
      <c r="A2492">
        <v>25</v>
      </c>
      <c r="B2492">
        <v>3</v>
      </c>
      <c r="C2492">
        <v>-1.3322676295501878E-15</v>
      </c>
    </row>
    <row r="2493" spans="1:3" x14ac:dyDescent="0.25">
      <c r="A2493">
        <v>25</v>
      </c>
      <c r="B2493">
        <v>12</v>
      </c>
      <c r="C2493">
        <v>-1.3322676295501878E-15</v>
      </c>
    </row>
    <row r="2494" spans="1:3" x14ac:dyDescent="0.25">
      <c r="A2494">
        <v>25</v>
      </c>
      <c r="B2494">
        <v>50</v>
      </c>
      <c r="C2494">
        <v>-1.3322676295501878E-15</v>
      </c>
    </row>
    <row r="2495" spans="1:3" x14ac:dyDescent="0.25">
      <c r="A2495">
        <v>50</v>
      </c>
      <c r="B2495">
        <v>25</v>
      </c>
      <c r="C2495">
        <v>-1.3322676295501878E-15</v>
      </c>
    </row>
    <row r="2496" spans="1:3" x14ac:dyDescent="0.25">
      <c r="A2496">
        <v>14</v>
      </c>
      <c r="B2496">
        <v>48</v>
      </c>
      <c r="C2496">
        <v>-1.7763568394002505E-15</v>
      </c>
    </row>
    <row r="2497" spans="1:3" x14ac:dyDescent="0.25">
      <c r="A2497">
        <v>48</v>
      </c>
      <c r="B2497">
        <v>14</v>
      </c>
      <c r="C2497">
        <v>-1.7763568394002505E-15</v>
      </c>
    </row>
    <row r="2498" spans="1:3" x14ac:dyDescent="0.25">
      <c r="A2498">
        <v>4</v>
      </c>
      <c r="B2498">
        <v>16</v>
      </c>
      <c r="C2498">
        <v>-3.5527136788005009E-15</v>
      </c>
    </row>
    <row r="2499" spans="1:3" x14ac:dyDescent="0.25">
      <c r="A2499">
        <v>16</v>
      </c>
      <c r="B2499">
        <v>4</v>
      </c>
      <c r="C2499">
        <v>-3.5527136788005009E-15</v>
      </c>
    </row>
    <row r="2500" spans="1:3" x14ac:dyDescent="0.25">
      <c r="A2500">
        <v>9</v>
      </c>
      <c r="B2500">
        <v>12</v>
      </c>
      <c r="C2500">
        <v>-4.5519144009631418E-15</v>
      </c>
    </row>
    <row r="2501" spans="1:3" x14ac:dyDescent="0.25">
      <c r="A2501">
        <v>12</v>
      </c>
      <c r="B2501">
        <v>9</v>
      </c>
      <c r="C2501">
        <v>-4.5519144009631418E-15</v>
      </c>
    </row>
  </sheetData>
  <sortState ref="A2:C2501">
    <sortCondition descending="1" ref="C2:C99999"/>
  </sortState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>
    <tabColor rgb="FFFF0000"/>
  </sheetPr>
  <dimension ref="A1:N52"/>
  <sheetViews>
    <sheetView showGridLines="0" workbookViewId="0">
      <selection activeCell="N13" sqref="N13"/>
    </sheetView>
  </sheetViews>
  <sheetFormatPr defaultRowHeight="15" x14ac:dyDescent="0.25"/>
  <cols>
    <col min="10" max="10" width="17.7109375" customWidth="1"/>
    <col min="11" max="11" width="18.28515625" bestFit="1" customWidth="1"/>
  </cols>
  <sheetData>
    <row r="1" spans="1:14" x14ac:dyDescent="0.25">
      <c r="A1" s="2" t="s">
        <v>87</v>
      </c>
      <c r="B1" s="2" t="s">
        <v>91</v>
      </c>
      <c r="C1" s="2" t="s">
        <v>89</v>
      </c>
      <c r="D1" s="2" t="s">
        <v>88</v>
      </c>
      <c r="F1" s="2" t="s">
        <v>95</v>
      </c>
      <c r="G1" s="2" t="s">
        <v>96</v>
      </c>
      <c r="H1" s="2" t="s">
        <v>97</v>
      </c>
      <c r="J1" t="s">
        <v>92</v>
      </c>
      <c r="K1" t="s">
        <v>93</v>
      </c>
      <c r="L1" t="s">
        <v>94</v>
      </c>
      <c r="M1" t="s">
        <v>98</v>
      </c>
      <c r="N1" t="s">
        <v>99</v>
      </c>
    </row>
    <row r="2" spans="1:14" x14ac:dyDescent="0.25">
      <c r="A2">
        <v>7</v>
      </c>
      <c r="B2">
        <v>35</v>
      </c>
      <c r="C2">
        <v>798</v>
      </c>
      <c r="D2">
        <v>9800</v>
      </c>
    </row>
    <row r="3" spans="1:14" x14ac:dyDescent="0.25">
      <c r="A3">
        <v>7</v>
      </c>
      <c r="B3">
        <v>39</v>
      </c>
      <c r="C3">
        <v>830</v>
      </c>
      <c r="D3">
        <v>9300</v>
      </c>
    </row>
    <row r="4" spans="1:14" x14ac:dyDescent="0.25">
      <c r="A4">
        <v>7</v>
      </c>
      <c r="B4">
        <v>16</v>
      </c>
      <c r="C4">
        <v>627</v>
      </c>
      <c r="D4">
        <v>8900</v>
      </c>
    </row>
    <row r="5" spans="1:14" x14ac:dyDescent="0.25">
      <c r="A5">
        <v>7</v>
      </c>
      <c r="B5">
        <v>42</v>
      </c>
      <c r="C5">
        <v>833</v>
      </c>
      <c r="D5">
        <v>8900</v>
      </c>
    </row>
    <row r="6" spans="1:14" x14ac:dyDescent="0.25">
      <c r="A6">
        <v>7</v>
      </c>
      <c r="B6">
        <v>23</v>
      </c>
      <c r="C6">
        <v>685</v>
      </c>
      <c r="D6">
        <v>8400</v>
      </c>
    </row>
    <row r="7" spans="1:14" x14ac:dyDescent="0.25">
      <c r="A7">
        <v>7</v>
      </c>
      <c r="B7">
        <v>49</v>
      </c>
      <c r="C7">
        <v>899</v>
      </c>
      <c r="D7">
        <v>8400</v>
      </c>
    </row>
    <row r="8" spans="1:14" x14ac:dyDescent="0.25">
      <c r="A8">
        <v>7</v>
      </c>
      <c r="B8">
        <v>41</v>
      </c>
      <c r="C8">
        <v>832</v>
      </c>
      <c r="D8">
        <v>8300</v>
      </c>
    </row>
    <row r="9" spans="1:14" x14ac:dyDescent="0.25">
      <c r="A9">
        <v>7</v>
      </c>
      <c r="B9">
        <v>27</v>
      </c>
      <c r="C9">
        <v>718</v>
      </c>
      <c r="D9">
        <v>7800</v>
      </c>
    </row>
    <row r="10" spans="1:14" x14ac:dyDescent="0.25">
      <c r="A10">
        <v>7</v>
      </c>
      <c r="B10">
        <v>33</v>
      </c>
      <c r="C10">
        <v>767</v>
      </c>
      <c r="D10">
        <v>7600</v>
      </c>
    </row>
    <row r="11" spans="1:14" x14ac:dyDescent="0.25">
      <c r="A11">
        <v>7</v>
      </c>
      <c r="B11">
        <v>13</v>
      </c>
      <c r="C11">
        <v>599</v>
      </c>
      <c r="D11">
        <v>7395.839506172837</v>
      </c>
    </row>
    <row r="12" spans="1:14" x14ac:dyDescent="0.25">
      <c r="A12">
        <v>7</v>
      </c>
      <c r="B12">
        <v>34</v>
      </c>
      <c r="C12">
        <v>795</v>
      </c>
      <c r="D12">
        <v>6900</v>
      </c>
    </row>
    <row r="13" spans="1:14" x14ac:dyDescent="0.25">
      <c r="A13">
        <v>7</v>
      </c>
      <c r="B13">
        <v>26</v>
      </c>
      <c r="C13">
        <v>713</v>
      </c>
      <c r="D13">
        <v>6700</v>
      </c>
    </row>
    <row r="14" spans="1:14" x14ac:dyDescent="0.25">
      <c r="A14">
        <v>7</v>
      </c>
      <c r="B14">
        <v>1</v>
      </c>
      <c r="C14">
        <v>1</v>
      </c>
      <c r="D14">
        <v>6500</v>
      </c>
    </row>
    <row r="15" spans="1:14" x14ac:dyDescent="0.25">
      <c r="A15">
        <v>7</v>
      </c>
      <c r="B15">
        <v>18</v>
      </c>
      <c r="C15">
        <v>668</v>
      </c>
      <c r="D15">
        <v>6200</v>
      </c>
    </row>
    <row r="16" spans="1:14" x14ac:dyDescent="0.25">
      <c r="A16">
        <v>7</v>
      </c>
      <c r="B16">
        <v>44</v>
      </c>
      <c r="C16">
        <v>841</v>
      </c>
      <c r="D16">
        <v>6200</v>
      </c>
    </row>
    <row r="17" spans="1:4" x14ac:dyDescent="0.25">
      <c r="A17">
        <v>7</v>
      </c>
      <c r="B17">
        <v>40</v>
      </c>
      <c r="C17">
        <v>831</v>
      </c>
      <c r="D17">
        <v>5900</v>
      </c>
    </row>
    <row r="18" spans="1:4" x14ac:dyDescent="0.25">
      <c r="A18">
        <v>7</v>
      </c>
      <c r="B18">
        <v>46</v>
      </c>
      <c r="C18">
        <v>847</v>
      </c>
      <c r="D18">
        <v>5900</v>
      </c>
    </row>
    <row r="19" spans="1:4" x14ac:dyDescent="0.25">
      <c r="A19">
        <v>7</v>
      </c>
      <c r="B19">
        <v>19</v>
      </c>
      <c r="C19">
        <v>681</v>
      </c>
      <c r="D19">
        <v>5800</v>
      </c>
    </row>
    <row r="20" spans="1:4" x14ac:dyDescent="0.25">
      <c r="A20">
        <v>7</v>
      </c>
      <c r="B20">
        <v>43</v>
      </c>
      <c r="C20">
        <v>840</v>
      </c>
      <c r="D20">
        <v>5800</v>
      </c>
    </row>
    <row r="21" spans="1:4" x14ac:dyDescent="0.25">
      <c r="A21">
        <v>7</v>
      </c>
      <c r="B21">
        <v>45</v>
      </c>
      <c r="C21">
        <v>842</v>
      </c>
      <c r="D21">
        <v>5800</v>
      </c>
    </row>
    <row r="22" spans="1:4" x14ac:dyDescent="0.25">
      <c r="A22">
        <v>7</v>
      </c>
      <c r="B22">
        <v>32</v>
      </c>
      <c r="C22">
        <v>766</v>
      </c>
      <c r="D22">
        <v>5500</v>
      </c>
    </row>
    <row r="23" spans="1:4" x14ac:dyDescent="0.25">
      <c r="A23">
        <v>7</v>
      </c>
      <c r="B23">
        <v>37</v>
      </c>
      <c r="C23">
        <v>811</v>
      </c>
      <c r="D23">
        <v>4100</v>
      </c>
    </row>
    <row r="24" spans="1:4" x14ac:dyDescent="0.25">
      <c r="A24">
        <v>7</v>
      </c>
      <c r="B24">
        <v>21</v>
      </c>
      <c r="C24">
        <v>683</v>
      </c>
      <c r="D24">
        <v>2400</v>
      </c>
    </row>
    <row r="25" spans="1:4" x14ac:dyDescent="0.25">
      <c r="A25">
        <v>7</v>
      </c>
      <c r="B25">
        <v>25</v>
      </c>
      <c r="C25">
        <v>706</v>
      </c>
      <c r="D25">
        <v>2000</v>
      </c>
    </row>
    <row r="26" spans="1:4" x14ac:dyDescent="0.25">
      <c r="A26">
        <v>7</v>
      </c>
      <c r="B26">
        <v>50</v>
      </c>
      <c r="C26">
        <v>1912</v>
      </c>
      <c r="D26">
        <v>185.45679012345678</v>
      </c>
    </row>
    <row r="27" spans="1:4" x14ac:dyDescent="0.25">
      <c r="A27">
        <v>7</v>
      </c>
      <c r="B27">
        <v>2</v>
      </c>
      <c r="C27">
        <v>3</v>
      </c>
      <c r="D27">
        <v>0</v>
      </c>
    </row>
    <row r="28" spans="1:4" x14ac:dyDescent="0.25">
      <c r="A28">
        <v>7</v>
      </c>
      <c r="B28">
        <v>3</v>
      </c>
      <c r="C28">
        <v>5</v>
      </c>
      <c r="D28">
        <v>0</v>
      </c>
    </row>
    <row r="29" spans="1:4" x14ac:dyDescent="0.25">
      <c r="A29">
        <v>7</v>
      </c>
      <c r="B29">
        <v>4</v>
      </c>
      <c r="C29">
        <v>11</v>
      </c>
      <c r="D29">
        <v>0</v>
      </c>
    </row>
    <row r="30" spans="1:4" x14ac:dyDescent="0.25">
      <c r="A30">
        <v>7</v>
      </c>
      <c r="B30">
        <v>5</v>
      </c>
      <c r="C30">
        <v>12</v>
      </c>
      <c r="D30">
        <v>0</v>
      </c>
    </row>
    <row r="31" spans="1:4" x14ac:dyDescent="0.25">
      <c r="A31">
        <v>7</v>
      </c>
      <c r="B31">
        <v>6</v>
      </c>
      <c r="C31">
        <v>29</v>
      </c>
      <c r="D31">
        <v>0</v>
      </c>
    </row>
    <row r="32" spans="1:4" x14ac:dyDescent="0.25">
      <c r="A32">
        <v>7</v>
      </c>
      <c r="B32">
        <v>7</v>
      </c>
      <c r="C32">
        <v>70</v>
      </c>
      <c r="D32">
        <v>0</v>
      </c>
    </row>
    <row r="33" spans="1:4" x14ac:dyDescent="0.25">
      <c r="A33">
        <v>7</v>
      </c>
      <c r="B33">
        <v>8</v>
      </c>
      <c r="C33">
        <v>71</v>
      </c>
      <c r="D33">
        <v>0</v>
      </c>
    </row>
    <row r="34" spans="1:4" x14ac:dyDescent="0.25">
      <c r="A34">
        <v>7</v>
      </c>
      <c r="B34">
        <v>9</v>
      </c>
      <c r="C34">
        <v>384</v>
      </c>
      <c r="D34">
        <v>0</v>
      </c>
    </row>
    <row r="35" spans="1:4" x14ac:dyDescent="0.25">
      <c r="A35">
        <v>7</v>
      </c>
      <c r="B35">
        <v>10</v>
      </c>
      <c r="C35">
        <v>429</v>
      </c>
      <c r="D35">
        <v>0</v>
      </c>
    </row>
    <row r="36" spans="1:4" x14ac:dyDescent="0.25">
      <c r="A36">
        <v>7</v>
      </c>
      <c r="B36">
        <v>11</v>
      </c>
      <c r="C36">
        <v>486</v>
      </c>
      <c r="D36">
        <v>0</v>
      </c>
    </row>
    <row r="37" spans="1:4" x14ac:dyDescent="0.25">
      <c r="A37">
        <v>7</v>
      </c>
      <c r="B37">
        <v>12</v>
      </c>
      <c r="C37">
        <v>546</v>
      </c>
      <c r="D37">
        <v>0</v>
      </c>
    </row>
    <row r="38" spans="1:4" x14ac:dyDescent="0.25">
      <c r="A38">
        <v>7</v>
      </c>
      <c r="B38">
        <v>14</v>
      </c>
      <c r="C38">
        <v>620</v>
      </c>
      <c r="D38">
        <v>0</v>
      </c>
    </row>
    <row r="39" spans="1:4" x14ac:dyDescent="0.25">
      <c r="A39">
        <v>7</v>
      </c>
      <c r="B39">
        <v>15</v>
      </c>
      <c r="C39">
        <v>626</v>
      </c>
      <c r="D39">
        <v>0</v>
      </c>
    </row>
    <row r="40" spans="1:4" x14ac:dyDescent="0.25">
      <c r="A40">
        <v>7</v>
      </c>
      <c r="B40">
        <v>17</v>
      </c>
      <c r="C40">
        <v>651</v>
      </c>
      <c r="D40">
        <v>0</v>
      </c>
    </row>
    <row r="41" spans="1:4" x14ac:dyDescent="0.25">
      <c r="A41">
        <v>7</v>
      </c>
      <c r="B41">
        <v>20</v>
      </c>
      <c r="C41">
        <v>682</v>
      </c>
      <c r="D41">
        <v>0</v>
      </c>
    </row>
    <row r="42" spans="1:4" x14ac:dyDescent="0.25">
      <c r="A42">
        <v>7</v>
      </c>
      <c r="B42">
        <v>22</v>
      </c>
      <c r="C42">
        <v>684</v>
      </c>
      <c r="D42">
        <v>0</v>
      </c>
    </row>
    <row r="43" spans="1:4" x14ac:dyDescent="0.25">
      <c r="A43">
        <v>7</v>
      </c>
      <c r="B43">
        <v>24</v>
      </c>
      <c r="C43">
        <v>691</v>
      </c>
      <c r="D43">
        <v>0</v>
      </c>
    </row>
    <row r="44" spans="1:4" x14ac:dyDescent="0.25">
      <c r="A44">
        <v>7</v>
      </c>
      <c r="B44">
        <v>28</v>
      </c>
      <c r="C44">
        <v>731</v>
      </c>
      <c r="D44">
        <v>0</v>
      </c>
    </row>
    <row r="45" spans="1:4" x14ac:dyDescent="0.25">
      <c r="A45">
        <v>7</v>
      </c>
      <c r="B45">
        <v>29</v>
      </c>
      <c r="C45">
        <v>743</v>
      </c>
      <c r="D45">
        <v>0</v>
      </c>
    </row>
    <row r="46" spans="1:4" x14ac:dyDescent="0.25">
      <c r="A46">
        <v>7</v>
      </c>
      <c r="B46">
        <v>30</v>
      </c>
      <c r="C46">
        <v>760</v>
      </c>
      <c r="D46">
        <v>0</v>
      </c>
    </row>
    <row r="47" spans="1:4" x14ac:dyDescent="0.25">
      <c r="A47">
        <v>7</v>
      </c>
      <c r="B47">
        <v>31</v>
      </c>
      <c r="C47">
        <v>765</v>
      </c>
      <c r="D47">
        <v>0</v>
      </c>
    </row>
    <row r="48" spans="1:4" x14ac:dyDescent="0.25">
      <c r="A48">
        <v>7</v>
      </c>
      <c r="B48">
        <v>36</v>
      </c>
      <c r="C48">
        <v>799</v>
      </c>
      <c r="D48">
        <v>0</v>
      </c>
    </row>
    <row r="49" spans="1:4" x14ac:dyDescent="0.25">
      <c r="A49">
        <v>7</v>
      </c>
      <c r="B49">
        <v>38</v>
      </c>
      <c r="C49">
        <v>820</v>
      </c>
      <c r="D49">
        <v>0</v>
      </c>
    </row>
    <row r="50" spans="1:4" x14ac:dyDescent="0.25">
      <c r="A50">
        <v>7</v>
      </c>
      <c r="B50">
        <v>47</v>
      </c>
      <c r="C50">
        <v>877</v>
      </c>
      <c r="D50">
        <v>0</v>
      </c>
    </row>
    <row r="51" spans="1:4" x14ac:dyDescent="0.25">
      <c r="A51">
        <v>7</v>
      </c>
      <c r="B51">
        <v>48</v>
      </c>
      <c r="C51">
        <v>898</v>
      </c>
      <c r="D51">
        <v>0</v>
      </c>
    </row>
    <row r="52" spans="1:4" x14ac:dyDescent="0.25">
      <c r="A52">
        <v>7</v>
      </c>
      <c r="B52">
        <v>51</v>
      </c>
      <c r="C52">
        <v>999999</v>
      </c>
      <c r="D52">
        <v>0</v>
      </c>
    </row>
  </sheetData>
  <sortState ref="A2:D52">
    <sortCondition descending="1" ref="D1"/>
  </sortState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>
    <tabColor rgb="FFFF0000"/>
  </sheetPr>
  <dimension ref="A1:W52"/>
  <sheetViews>
    <sheetView showGridLines="0" topLeftCell="A29" workbookViewId="0">
      <selection activeCell="G48" sqref="G48"/>
    </sheetView>
  </sheetViews>
  <sheetFormatPr defaultRowHeight="15" x14ac:dyDescent="0.25"/>
  <cols>
    <col min="2" max="2" width="34.140625" bestFit="1" customWidth="1"/>
    <col min="3" max="3" width="10.85546875" customWidth="1"/>
    <col min="4" max="5" width="11.85546875" customWidth="1"/>
  </cols>
  <sheetData>
    <row r="1" spans="1:23" x14ac:dyDescent="0.25">
      <c r="A1" s="75" t="s">
        <v>64</v>
      </c>
      <c r="B1" s="84" t="s">
        <v>81</v>
      </c>
      <c r="C1" s="78" t="s">
        <v>71</v>
      </c>
      <c r="D1" s="82"/>
      <c r="E1" s="83"/>
      <c r="F1" s="78" t="s">
        <v>72</v>
      </c>
      <c r="G1" s="82"/>
      <c r="H1" s="83"/>
      <c r="I1" s="78" t="s">
        <v>73</v>
      </c>
      <c r="J1" s="82"/>
      <c r="K1" s="83"/>
      <c r="L1" s="78" t="s">
        <v>74</v>
      </c>
      <c r="M1" s="82"/>
      <c r="N1" s="83"/>
      <c r="O1" s="78" t="s">
        <v>75</v>
      </c>
      <c r="P1" s="82"/>
      <c r="Q1" s="83"/>
      <c r="R1" s="78" t="s">
        <v>76</v>
      </c>
      <c r="S1" s="82"/>
      <c r="T1" s="83"/>
      <c r="U1" s="78" t="s">
        <v>77</v>
      </c>
      <c r="V1" s="82"/>
      <c r="W1" s="83"/>
    </row>
    <row r="2" spans="1:23" ht="30.75" customHeight="1" x14ac:dyDescent="0.25">
      <c r="A2" s="76"/>
      <c r="B2" s="85"/>
      <c r="C2" s="10" t="s">
        <v>78</v>
      </c>
      <c r="D2" s="11" t="s">
        <v>80</v>
      </c>
      <c r="E2" s="12" t="s">
        <v>79</v>
      </c>
      <c r="F2" s="10" t="s">
        <v>78</v>
      </c>
      <c r="G2" s="11" t="s">
        <v>80</v>
      </c>
      <c r="H2" s="12" t="s">
        <v>79</v>
      </c>
      <c r="I2" s="10" t="s">
        <v>78</v>
      </c>
      <c r="J2" s="11" t="s">
        <v>80</v>
      </c>
      <c r="K2" s="12" t="s">
        <v>79</v>
      </c>
      <c r="L2" s="10" t="s">
        <v>78</v>
      </c>
      <c r="M2" s="11" t="s">
        <v>80</v>
      </c>
      <c r="N2" s="12" t="s">
        <v>79</v>
      </c>
      <c r="O2" s="10" t="s">
        <v>78</v>
      </c>
      <c r="P2" s="11" t="s">
        <v>80</v>
      </c>
      <c r="Q2" s="12" t="s">
        <v>79</v>
      </c>
      <c r="R2" s="10" t="s">
        <v>78</v>
      </c>
      <c r="S2" s="11" t="s">
        <v>80</v>
      </c>
      <c r="T2" s="12" t="s">
        <v>79</v>
      </c>
      <c r="U2" s="10" t="s">
        <v>78</v>
      </c>
      <c r="V2" s="11" t="s">
        <v>80</v>
      </c>
      <c r="W2" s="12" t="s">
        <v>79</v>
      </c>
    </row>
    <row r="3" spans="1:23" x14ac:dyDescent="0.25">
      <c r="A3">
        <v>1</v>
      </c>
      <c r="B3" s="13" t="s">
        <v>15</v>
      </c>
      <c r="C3" s="9">
        <v>8.3666666666666671</v>
      </c>
      <c r="D3" s="7">
        <v>2</v>
      </c>
      <c r="E3" s="3">
        <v>4000</v>
      </c>
      <c r="F3" s="9">
        <v>8.2304444444444442</v>
      </c>
      <c r="G3" s="7">
        <v>3</v>
      </c>
      <c r="H3" s="3">
        <v>9500</v>
      </c>
      <c r="I3" s="9">
        <v>9.245333333333333</v>
      </c>
      <c r="J3" s="7">
        <v>3</v>
      </c>
      <c r="K3" s="3">
        <v>7500</v>
      </c>
      <c r="L3" s="9">
        <v>0</v>
      </c>
      <c r="M3" s="7">
        <v>0</v>
      </c>
      <c r="N3" s="3">
        <v>0</v>
      </c>
      <c r="O3" s="9">
        <v>0</v>
      </c>
      <c r="P3" s="7">
        <v>0</v>
      </c>
      <c r="Q3" s="3">
        <v>0</v>
      </c>
      <c r="R3" s="9">
        <v>0</v>
      </c>
      <c r="S3" s="7">
        <v>0</v>
      </c>
      <c r="T3" s="3">
        <v>0</v>
      </c>
      <c r="U3" s="9">
        <v>0</v>
      </c>
      <c r="V3" s="7">
        <v>0</v>
      </c>
      <c r="W3" s="3">
        <v>0</v>
      </c>
    </row>
    <row r="4" spans="1:23" x14ac:dyDescent="0.25">
      <c r="A4">
        <v>2</v>
      </c>
      <c r="B4" s="14" t="s">
        <v>16</v>
      </c>
      <c r="C4" s="9">
        <v>5.2013333333333334</v>
      </c>
      <c r="D4" s="7">
        <v>1</v>
      </c>
      <c r="E4" s="3">
        <v>3000</v>
      </c>
      <c r="F4" s="9">
        <v>5.2013333333333334</v>
      </c>
      <c r="G4" s="7">
        <v>1</v>
      </c>
      <c r="H4" s="3">
        <v>3000</v>
      </c>
      <c r="I4" s="9">
        <v>4.1164444444444452</v>
      </c>
      <c r="J4" s="7">
        <v>1</v>
      </c>
      <c r="K4" s="3">
        <v>3000</v>
      </c>
      <c r="L4" s="9">
        <v>4.1164444444444452</v>
      </c>
      <c r="M4" s="7">
        <v>1</v>
      </c>
      <c r="N4" s="3">
        <v>4600</v>
      </c>
      <c r="O4" s="9">
        <v>4.1164444444444452</v>
      </c>
      <c r="P4" s="7">
        <v>1</v>
      </c>
      <c r="Q4" s="3">
        <v>4000</v>
      </c>
      <c r="R4" s="9">
        <v>4.1164444444444452</v>
      </c>
      <c r="S4" s="7">
        <v>1</v>
      </c>
      <c r="T4" s="3">
        <v>6700</v>
      </c>
      <c r="U4" s="9">
        <v>4.1164444444444452</v>
      </c>
      <c r="V4" s="7">
        <v>1</v>
      </c>
      <c r="W4" s="3">
        <v>7100</v>
      </c>
    </row>
    <row r="5" spans="1:23" x14ac:dyDescent="0.25">
      <c r="A5">
        <v>3</v>
      </c>
      <c r="B5" s="14" t="s">
        <v>17</v>
      </c>
      <c r="C5" s="9">
        <v>2.3524444444444446</v>
      </c>
      <c r="D5" s="7">
        <v>1</v>
      </c>
      <c r="E5" s="3">
        <v>1500</v>
      </c>
      <c r="F5" s="9">
        <v>2.3524444444444446</v>
      </c>
      <c r="G5" s="7">
        <v>1</v>
      </c>
      <c r="H5" s="3">
        <v>5600</v>
      </c>
      <c r="I5" s="9">
        <v>2.3524444444444446</v>
      </c>
      <c r="J5" s="7">
        <v>1</v>
      </c>
      <c r="K5" s="3">
        <v>6000</v>
      </c>
      <c r="L5" s="9">
        <v>2.3524444444444446</v>
      </c>
      <c r="M5" s="7">
        <v>1</v>
      </c>
      <c r="N5" s="3">
        <v>10000</v>
      </c>
      <c r="O5" s="9">
        <v>2.3524444444444446</v>
      </c>
      <c r="P5" s="7">
        <v>1</v>
      </c>
      <c r="Q5" s="3">
        <v>8000</v>
      </c>
      <c r="R5" s="9">
        <v>2.3524444444444446</v>
      </c>
      <c r="S5" s="7">
        <v>1</v>
      </c>
      <c r="T5" s="3">
        <v>3500</v>
      </c>
      <c r="U5" s="9">
        <v>2.3524444444444446</v>
      </c>
      <c r="V5" s="7">
        <v>1</v>
      </c>
      <c r="W5" s="3">
        <v>6800</v>
      </c>
    </row>
    <row r="6" spans="1:23" x14ac:dyDescent="0.25">
      <c r="A6">
        <v>4</v>
      </c>
      <c r="B6" s="14" t="s">
        <v>18</v>
      </c>
      <c r="C6" s="9">
        <v>3.9420000000000002</v>
      </c>
      <c r="D6" s="7">
        <v>1</v>
      </c>
      <c r="E6" s="3">
        <v>4700</v>
      </c>
      <c r="F6" s="9">
        <v>3.9420000000000002</v>
      </c>
      <c r="G6" s="7">
        <v>1</v>
      </c>
      <c r="H6" s="3">
        <v>8700</v>
      </c>
      <c r="I6" s="9">
        <v>5.3757777777777784</v>
      </c>
      <c r="J6" s="7">
        <v>1</v>
      </c>
      <c r="K6" s="3">
        <v>6900</v>
      </c>
      <c r="L6" s="9">
        <v>5.3757777777777784</v>
      </c>
      <c r="M6" s="7">
        <v>1</v>
      </c>
      <c r="N6" s="3">
        <v>9300</v>
      </c>
      <c r="O6" s="9">
        <v>5.3757777777777784</v>
      </c>
      <c r="P6" s="7">
        <v>1</v>
      </c>
      <c r="Q6" s="3">
        <v>9200</v>
      </c>
      <c r="R6" s="9">
        <v>5.3757777777777784</v>
      </c>
      <c r="S6" s="7">
        <v>1</v>
      </c>
      <c r="T6" s="3">
        <v>7500</v>
      </c>
      <c r="U6" s="9">
        <v>5.3757777777777784</v>
      </c>
      <c r="V6" s="7">
        <v>1</v>
      </c>
      <c r="W6" s="3">
        <v>9000</v>
      </c>
    </row>
    <row r="7" spans="1:23" x14ac:dyDescent="0.25">
      <c r="A7">
        <v>5</v>
      </c>
      <c r="B7" s="14" t="s">
        <v>19</v>
      </c>
      <c r="C7" s="9">
        <v>6.6722222222222225</v>
      </c>
      <c r="D7" s="7">
        <v>1</v>
      </c>
      <c r="E7" s="3">
        <v>200</v>
      </c>
      <c r="F7" s="9">
        <v>6.7508888888888894</v>
      </c>
      <c r="G7" s="7">
        <v>2</v>
      </c>
      <c r="H7" s="3">
        <v>5200</v>
      </c>
      <c r="I7" s="9">
        <v>6.9062222222222225</v>
      </c>
      <c r="J7" s="7">
        <v>2</v>
      </c>
      <c r="K7" s="3">
        <v>5400</v>
      </c>
      <c r="L7" s="9">
        <v>6.9062222222222225</v>
      </c>
      <c r="M7" s="7">
        <v>2</v>
      </c>
      <c r="N7" s="3">
        <v>4600</v>
      </c>
      <c r="O7" s="9">
        <v>6.9062222222222225</v>
      </c>
      <c r="P7" s="7">
        <v>2</v>
      </c>
      <c r="Q7" s="3">
        <v>7800</v>
      </c>
      <c r="R7" s="9">
        <v>6.9062222222222225</v>
      </c>
      <c r="S7" s="7">
        <v>2</v>
      </c>
      <c r="T7" s="3">
        <v>9200</v>
      </c>
      <c r="U7" s="9">
        <v>6.9062222222222225</v>
      </c>
      <c r="V7" s="7">
        <v>2</v>
      </c>
      <c r="W7" s="3">
        <v>8000</v>
      </c>
    </row>
    <row r="8" spans="1:23" x14ac:dyDescent="0.25">
      <c r="A8">
        <v>6</v>
      </c>
      <c r="B8" s="14" t="s">
        <v>20</v>
      </c>
      <c r="C8" s="9">
        <v>2.6859999999999999</v>
      </c>
      <c r="D8" s="7">
        <v>2</v>
      </c>
      <c r="E8" s="3">
        <v>0</v>
      </c>
      <c r="F8" s="9">
        <v>2.6859999999999999</v>
      </c>
      <c r="G8" s="7">
        <v>3</v>
      </c>
      <c r="H8" s="3">
        <v>1500</v>
      </c>
      <c r="I8" s="9">
        <v>2.6859999999999999</v>
      </c>
      <c r="J8" s="7">
        <v>3</v>
      </c>
      <c r="K8" s="3">
        <v>3700</v>
      </c>
      <c r="L8" s="9">
        <v>2.6859999999999999</v>
      </c>
      <c r="M8" s="7">
        <v>3</v>
      </c>
      <c r="N8" s="3">
        <v>8900</v>
      </c>
      <c r="O8" s="9">
        <v>2.6859999999999999</v>
      </c>
      <c r="P8" s="7">
        <v>3</v>
      </c>
      <c r="Q8" s="3">
        <v>8000</v>
      </c>
      <c r="R8" s="9">
        <v>2.6859999999999999</v>
      </c>
      <c r="S8" s="7">
        <v>3</v>
      </c>
      <c r="T8" s="3">
        <v>8600</v>
      </c>
      <c r="U8" s="9">
        <v>2.6859999999999999</v>
      </c>
      <c r="V8" s="7">
        <v>3</v>
      </c>
      <c r="W8" s="3">
        <v>9400</v>
      </c>
    </row>
    <row r="9" spans="1:23" x14ac:dyDescent="0.25">
      <c r="A9">
        <v>7</v>
      </c>
      <c r="B9" s="14" t="s">
        <v>21</v>
      </c>
      <c r="C9" s="9">
        <v>0</v>
      </c>
      <c r="D9" s="7">
        <v>0</v>
      </c>
      <c r="E9" s="3">
        <v>0</v>
      </c>
      <c r="F9" s="9">
        <v>1.8117777777777777</v>
      </c>
      <c r="G9" s="7">
        <v>2</v>
      </c>
      <c r="H9" s="3">
        <v>3800</v>
      </c>
      <c r="I9" s="9">
        <v>5.7164444444444449</v>
      </c>
      <c r="J9" s="7">
        <v>2</v>
      </c>
      <c r="K9" s="3">
        <v>6100</v>
      </c>
      <c r="L9" s="9">
        <v>5.7164444444444449</v>
      </c>
      <c r="M9" s="7">
        <v>2</v>
      </c>
      <c r="N9" s="3">
        <v>7900</v>
      </c>
      <c r="O9" s="9">
        <v>5.7164444444444449</v>
      </c>
      <c r="P9" s="7">
        <v>2</v>
      </c>
      <c r="Q9" s="3">
        <v>9800</v>
      </c>
      <c r="R9" s="9">
        <v>5.7164444444444449</v>
      </c>
      <c r="S9" s="7">
        <v>2</v>
      </c>
      <c r="T9" s="3">
        <v>7000</v>
      </c>
      <c r="U9" s="9">
        <v>5.7164444444444449</v>
      </c>
      <c r="V9" s="7">
        <v>2</v>
      </c>
      <c r="W9" s="3">
        <v>3200</v>
      </c>
    </row>
    <row r="10" spans="1:23" x14ac:dyDescent="0.25">
      <c r="A10">
        <v>8</v>
      </c>
      <c r="B10" s="14" t="s">
        <v>22</v>
      </c>
      <c r="C10" s="9">
        <v>0</v>
      </c>
      <c r="D10" s="7">
        <v>0</v>
      </c>
      <c r="E10" s="3">
        <v>0</v>
      </c>
      <c r="F10" s="9">
        <v>3.8928888888888888</v>
      </c>
      <c r="G10" s="7">
        <v>2</v>
      </c>
      <c r="H10" s="3">
        <v>3400</v>
      </c>
      <c r="I10" s="9">
        <v>2.7926666666666669</v>
      </c>
      <c r="J10" s="7">
        <v>2</v>
      </c>
      <c r="K10" s="3">
        <v>8100</v>
      </c>
      <c r="L10" s="9">
        <v>2.7926666666666669</v>
      </c>
      <c r="M10" s="7">
        <v>2</v>
      </c>
      <c r="N10" s="3">
        <v>2800</v>
      </c>
      <c r="O10" s="9">
        <v>2.7926666666666669</v>
      </c>
      <c r="P10" s="7">
        <v>2</v>
      </c>
      <c r="Q10" s="3">
        <v>5400</v>
      </c>
      <c r="R10" s="9">
        <v>2.7926666666666669</v>
      </c>
      <c r="S10" s="7">
        <v>2</v>
      </c>
      <c r="T10" s="3">
        <v>5800</v>
      </c>
      <c r="U10" s="9">
        <v>2.7926666666666669</v>
      </c>
      <c r="V10" s="7">
        <v>2</v>
      </c>
      <c r="W10" s="3">
        <v>6700</v>
      </c>
    </row>
    <row r="11" spans="1:23" x14ac:dyDescent="0.25">
      <c r="A11">
        <v>9</v>
      </c>
      <c r="B11" s="14" t="s">
        <v>23</v>
      </c>
      <c r="C11" s="9">
        <v>0</v>
      </c>
      <c r="D11" s="7">
        <v>0</v>
      </c>
      <c r="E11" s="3">
        <v>0</v>
      </c>
      <c r="F11" s="9">
        <v>0</v>
      </c>
      <c r="G11" s="7">
        <v>0</v>
      </c>
      <c r="H11" s="3">
        <v>0</v>
      </c>
      <c r="I11" s="9">
        <v>0</v>
      </c>
      <c r="J11" s="7">
        <v>0</v>
      </c>
      <c r="K11" s="3">
        <v>0</v>
      </c>
      <c r="L11" s="9">
        <v>0</v>
      </c>
      <c r="M11" s="7">
        <v>0</v>
      </c>
      <c r="N11" s="3">
        <v>0</v>
      </c>
      <c r="O11" s="9">
        <v>0</v>
      </c>
      <c r="P11" s="7">
        <v>0</v>
      </c>
      <c r="Q11" s="3">
        <v>0</v>
      </c>
      <c r="R11" s="9">
        <v>0</v>
      </c>
      <c r="S11" s="7">
        <v>0</v>
      </c>
      <c r="T11" s="3">
        <v>0</v>
      </c>
      <c r="U11" s="9">
        <v>0</v>
      </c>
      <c r="V11" s="7">
        <v>0</v>
      </c>
      <c r="W11" s="3">
        <v>0</v>
      </c>
    </row>
    <row r="12" spans="1:23" x14ac:dyDescent="0.25">
      <c r="A12">
        <v>10</v>
      </c>
      <c r="B12" s="14" t="s">
        <v>24</v>
      </c>
      <c r="C12" s="9">
        <v>0</v>
      </c>
      <c r="D12" s="7">
        <v>0</v>
      </c>
      <c r="E12" s="3">
        <v>0</v>
      </c>
      <c r="F12" s="9">
        <v>0</v>
      </c>
      <c r="G12" s="7">
        <v>0</v>
      </c>
      <c r="H12" s="3">
        <v>0</v>
      </c>
      <c r="I12" s="9">
        <v>4.2888888888888888</v>
      </c>
      <c r="J12" s="7">
        <v>2</v>
      </c>
      <c r="K12" s="3">
        <v>4100</v>
      </c>
      <c r="L12" s="9">
        <v>4.2888888888888888</v>
      </c>
      <c r="M12" s="7">
        <v>2</v>
      </c>
      <c r="N12" s="3">
        <v>2600</v>
      </c>
      <c r="O12" s="9">
        <v>4.2888888888888888</v>
      </c>
      <c r="P12" s="7">
        <v>2</v>
      </c>
      <c r="Q12" s="3">
        <v>6000</v>
      </c>
      <c r="R12" s="9">
        <v>4.2888888888888888</v>
      </c>
      <c r="S12" s="7">
        <v>2</v>
      </c>
      <c r="T12" s="3">
        <v>5000</v>
      </c>
      <c r="U12" s="9">
        <v>4.2888888888888888</v>
      </c>
      <c r="V12" s="7">
        <v>2</v>
      </c>
      <c r="W12" s="3">
        <v>2200</v>
      </c>
    </row>
    <row r="13" spans="1:23" x14ac:dyDescent="0.25">
      <c r="A13">
        <v>11</v>
      </c>
      <c r="B13" s="14" t="s">
        <v>25</v>
      </c>
      <c r="C13" s="9">
        <v>0</v>
      </c>
      <c r="D13" s="7">
        <v>0</v>
      </c>
      <c r="E13" s="3">
        <v>0</v>
      </c>
      <c r="F13" s="9">
        <v>0</v>
      </c>
      <c r="G13" s="7">
        <v>0</v>
      </c>
      <c r="H13" s="3">
        <v>0</v>
      </c>
      <c r="I13" s="9">
        <v>0</v>
      </c>
      <c r="J13" s="7">
        <v>0</v>
      </c>
      <c r="K13" s="3">
        <v>0</v>
      </c>
      <c r="L13" s="9">
        <v>7.5711111111111116</v>
      </c>
      <c r="M13" s="7">
        <v>2</v>
      </c>
      <c r="N13" s="3">
        <v>1800</v>
      </c>
      <c r="O13" s="9">
        <v>7.5711111111111116</v>
      </c>
      <c r="P13" s="7">
        <v>2</v>
      </c>
      <c r="Q13" s="3">
        <v>5400</v>
      </c>
      <c r="R13" s="9">
        <v>7.5711111111111116</v>
      </c>
      <c r="S13" s="7">
        <v>2</v>
      </c>
      <c r="T13" s="3">
        <v>4400</v>
      </c>
      <c r="U13" s="9">
        <v>7.5711111111111116</v>
      </c>
      <c r="V13" s="7">
        <v>2</v>
      </c>
      <c r="W13" s="3">
        <v>9800</v>
      </c>
    </row>
    <row r="14" spans="1:23" x14ac:dyDescent="0.25">
      <c r="A14">
        <v>12</v>
      </c>
      <c r="B14" s="14" t="s">
        <v>26</v>
      </c>
      <c r="C14" s="9">
        <v>0</v>
      </c>
      <c r="D14" s="7">
        <v>0</v>
      </c>
      <c r="E14" s="3">
        <v>0</v>
      </c>
      <c r="F14" s="9">
        <v>0</v>
      </c>
      <c r="G14" s="7">
        <v>0</v>
      </c>
      <c r="H14" s="3">
        <v>0</v>
      </c>
      <c r="I14" s="9">
        <v>3.4028888888888891</v>
      </c>
      <c r="J14" s="7">
        <v>1</v>
      </c>
      <c r="K14" s="3">
        <v>1300</v>
      </c>
      <c r="L14" s="9">
        <v>3.4028888888888891</v>
      </c>
      <c r="M14" s="7">
        <v>1</v>
      </c>
      <c r="N14" s="3">
        <v>9400</v>
      </c>
      <c r="O14" s="9">
        <v>3.4028888888888891</v>
      </c>
      <c r="P14" s="7">
        <v>1</v>
      </c>
      <c r="Q14" s="3">
        <v>3300</v>
      </c>
      <c r="R14" s="9">
        <v>3.4028888888888891</v>
      </c>
      <c r="S14" s="7">
        <v>1</v>
      </c>
      <c r="T14" s="3">
        <v>4200</v>
      </c>
      <c r="U14" s="9">
        <v>3.4028888888888891</v>
      </c>
      <c r="V14" s="7">
        <v>1</v>
      </c>
      <c r="W14" s="3">
        <v>5100</v>
      </c>
    </row>
    <row r="15" spans="1:23" x14ac:dyDescent="0.25">
      <c r="A15">
        <v>13</v>
      </c>
      <c r="B15" s="14" t="s">
        <v>27</v>
      </c>
      <c r="C15" s="9">
        <v>0</v>
      </c>
      <c r="D15" s="7">
        <v>0</v>
      </c>
      <c r="E15" s="3">
        <v>0</v>
      </c>
      <c r="F15" s="9">
        <v>0</v>
      </c>
      <c r="G15" s="7">
        <v>0</v>
      </c>
      <c r="H15" s="3">
        <v>0</v>
      </c>
      <c r="I15" s="9">
        <v>8.5797777777777782</v>
      </c>
      <c r="J15" s="7">
        <v>1</v>
      </c>
      <c r="K15" s="3">
        <v>5300</v>
      </c>
      <c r="L15" s="9">
        <v>8.5797777777777782</v>
      </c>
      <c r="M15" s="7">
        <v>1</v>
      </c>
      <c r="N15" s="3">
        <v>9500</v>
      </c>
      <c r="O15" s="9">
        <v>8.5797777777777782</v>
      </c>
      <c r="P15" s="7">
        <v>1</v>
      </c>
      <c r="Q15" s="3">
        <v>9500</v>
      </c>
      <c r="R15" s="9">
        <v>8.5797777777777782</v>
      </c>
      <c r="S15" s="7">
        <v>1</v>
      </c>
      <c r="T15" s="3">
        <v>8000</v>
      </c>
      <c r="U15" s="9">
        <v>8.5797777777777782</v>
      </c>
      <c r="V15" s="7">
        <v>1</v>
      </c>
      <c r="W15" s="3">
        <v>9300</v>
      </c>
    </row>
    <row r="16" spans="1:23" x14ac:dyDescent="0.25">
      <c r="A16">
        <v>14</v>
      </c>
      <c r="B16" s="14" t="s">
        <v>28</v>
      </c>
      <c r="C16" s="9">
        <v>0</v>
      </c>
      <c r="D16" s="7">
        <v>0</v>
      </c>
      <c r="E16" s="3">
        <v>0</v>
      </c>
      <c r="F16" s="9">
        <v>5.1146666666666665</v>
      </c>
      <c r="G16" s="7">
        <v>3</v>
      </c>
      <c r="H16" s="3">
        <v>1800</v>
      </c>
      <c r="I16" s="9">
        <v>5.1146666666666665</v>
      </c>
      <c r="J16" s="7">
        <v>3</v>
      </c>
      <c r="K16" s="3">
        <v>8300</v>
      </c>
      <c r="L16" s="9">
        <v>5.1146666666666665</v>
      </c>
      <c r="M16" s="7">
        <v>3</v>
      </c>
      <c r="N16" s="3">
        <v>6900</v>
      </c>
      <c r="O16" s="9">
        <v>5.1146666666666665</v>
      </c>
      <c r="P16" s="7">
        <v>3</v>
      </c>
      <c r="Q16" s="3">
        <v>4400</v>
      </c>
      <c r="R16" s="9">
        <v>5.1146666666666665</v>
      </c>
      <c r="S16" s="7">
        <v>3</v>
      </c>
      <c r="T16" s="3">
        <v>8300</v>
      </c>
      <c r="U16" s="9">
        <v>5.1146666666666665</v>
      </c>
      <c r="V16" s="7">
        <v>3</v>
      </c>
      <c r="W16" s="3">
        <v>5900</v>
      </c>
    </row>
    <row r="17" spans="1:23" x14ac:dyDescent="0.25">
      <c r="A17">
        <v>15</v>
      </c>
      <c r="B17" s="14" t="s">
        <v>29</v>
      </c>
      <c r="C17" s="9">
        <v>0</v>
      </c>
      <c r="D17" s="7">
        <v>0</v>
      </c>
      <c r="E17" s="3">
        <v>0</v>
      </c>
      <c r="F17" s="9">
        <v>0</v>
      </c>
      <c r="G17" s="7">
        <v>0</v>
      </c>
      <c r="H17" s="3">
        <v>0</v>
      </c>
      <c r="I17" s="9">
        <v>0</v>
      </c>
      <c r="J17" s="7">
        <v>0</v>
      </c>
      <c r="K17" s="3">
        <v>0</v>
      </c>
      <c r="L17" s="9">
        <v>0</v>
      </c>
      <c r="M17" s="7">
        <v>0</v>
      </c>
      <c r="N17" s="3">
        <v>0</v>
      </c>
      <c r="O17" s="9">
        <v>0</v>
      </c>
      <c r="P17" s="7">
        <v>0</v>
      </c>
      <c r="Q17" s="3">
        <v>0</v>
      </c>
      <c r="R17" s="9">
        <v>0</v>
      </c>
      <c r="S17" s="7">
        <v>0</v>
      </c>
      <c r="T17" s="3">
        <v>0</v>
      </c>
      <c r="U17" s="9">
        <v>0</v>
      </c>
      <c r="V17" s="7">
        <v>0</v>
      </c>
      <c r="W17" s="3">
        <v>0</v>
      </c>
    </row>
    <row r="18" spans="1:23" x14ac:dyDescent="0.25">
      <c r="A18">
        <v>16</v>
      </c>
      <c r="B18" s="14" t="s">
        <v>30</v>
      </c>
      <c r="C18" s="9">
        <v>9.6035555555555536</v>
      </c>
      <c r="D18" s="7">
        <v>1</v>
      </c>
      <c r="E18" s="3">
        <v>2500</v>
      </c>
      <c r="F18" s="9">
        <v>6.4613333333333332</v>
      </c>
      <c r="G18" s="7">
        <v>3</v>
      </c>
      <c r="H18" s="3">
        <v>7300</v>
      </c>
      <c r="I18" s="9">
        <v>6.4613333333333332</v>
      </c>
      <c r="J18" s="7">
        <v>3</v>
      </c>
      <c r="K18" s="3">
        <v>2100</v>
      </c>
      <c r="L18" s="9">
        <v>6.4613333333333332</v>
      </c>
      <c r="M18" s="7">
        <v>3</v>
      </c>
      <c r="N18" s="3">
        <v>6600</v>
      </c>
      <c r="O18" s="9">
        <v>6.4613333333333332</v>
      </c>
      <c r="P18" s="7">
        <v>3</v>
      </c>
      <c r="Q18" s="3">
        <v>4800</v>
      </c>
      <c r="R18" s="9">
        <v>6.4613333333333332</v>
      </c>
      <c r="S18" s="7">
        <v>3</v>
      </c>
      <c r="T18" s="3">
        <v>3800</v>
      </c>
      <c r="U18" s="9">
        <v>6.4613333333333332</v>
      </c>
      <c r="V18" s="7">
        <v>3</v>
      </c>
      <c r="W18" s="3">
        <v>8900</v>
      </c>
    </row>
    <row r="19" spans="1:23" x14ac:dyDescent="0.25">
      <c r="A19">
        <v>17</v>
      </c>
      <c r="B19" s="14" t="s">
        <v>31</v>
      </c>
      <c r="C19" s="9">
        <v>0</v>
      </c>
      <c r="D19" s="7">
        <v>0</v>
      </c>
      <c r="E19" s="3">
        <v>300</v>
      </c>
      <c r="F19" s="9">
        <v>0</v>
      </c>
      <c r="G19" s="7">
        <v>0</v>
      </c>
      <c r="H19" s="3">
        <v>4200</v>
      </c>
      <c r="I19" s="9">
        <v>0</v>
      </c>
      <c r="J19" s="7">
        <v>0</v>
      </c>
      <c r="K19" s="3">
        <v>8900</v>
      </c>
      <c r="L19" s="9">
        <v>0</v>
      </c>
      <c r="M19" s="7">
        <v>0</v>
      </c>
      <c r="N19" s="3">
        <v>4900</v>
      </c>
      <c r="O19" s="9">
        <v>0</v>
      </c>
      <c r="P19" s="7">
        <v>0</v>
      </c>
      <c r="Q19" s="3">
        <v>9200</v>
      </c>
      <c r="R19" s="9">
        <v>0</v>
      </c>
      <c r="S19" s="7">
        <v>0</v>
      </c>
      <c r="T19" s="3">
        <v>7500</v>
      </c>
      <c r="U19" s="9">
        <v>0</v>
      </c>
      <c r="V19" s="7">
        <v>0</v>
      </c>
      <c r="W19" s="3">
        <v>5800</v>
      </c>
    </row>
    <row r="20" spans="1:23" x14ac:dyDescent="0.25">
      <c r="A20">
        <v>18</v>
      </c>
      <c r="B20" s="14" t="s">
        <v>32</v>
      </c>
      <c r="C20" s="9">
        <v>8.9304444444444435</v>
      </c>
      <c r="D20" s="7">
        <v>1</v>
      </c>
      <c r="E20" s="3">
        <v>500</v>
      </c>
      <c r="F20" s="9">
        <v>9.0208888888888907</v>
      </c>
      <c r="G20" s="7">
        <v>2</v>
      </c>
      <c r="H20" s="3">
        <v>7700</v>
      </c>
      <c r="I20" s="9">
        <v>9.1762222222222221</v>
      </c>
      <c r="J20" s="7">
        <v>2</v>
      </c>
      <c r="K20" s="3">
        <v>2900</v>
      </c>
      <c r="L20" s="9">
        <v>0</v>
      </c>
      <c r="M20" s="7">
        <v>0</v>
      </c>
      <c r="N20" s="3">
        <v>0</v>
      </c>
      <c r="O20" s="9">
        <v>0</v>
      </c>
      <c r="P20" s="7">
        <v>0</v>
      </c>
      <c r="Q20" s="3">
        <v>0</v>
      </c>
      <c r="R20" s="9">
        <v>0</v>
      </c>
      <c r="S20" s="7">
        <v>0</v>
      </c>
      <c r="T20" s="3">
        <v>0</v>
      </c>
      <c r="U20" s="9">
        <v>0</v>
      </c>
      <c r="V20" s="7">
        <v>0</v>
      </c>
      <c r="W20" s="3">
        <v>0</v>
      </c>
    </row>
    <row r="21" spans="1:23" x14ac:dyDescent="0.25">
      <c r="A21">
        <v>19</v>
      </c>
      <c r="B21" s="14" t="s">
        <v>33</v>
      </c>
      <c r="C21" s="9">
        <v>0</v>
      </c>
      <c r="D21" s="7">
        <v>0</v>
      </c>
      <c r="E21" s="3">
        <v>1900</v>
      </c>
      <c r="F21" s="9">
        <v>0</v>
      </c>
      <c r="G21" s="7">
        <v>0</v>
      </c>
      <c r="H21" s="3">
        <v>2900</v>
      </c>
      <c r="I21" s="9">
        <v>0</v>
      </c>
      <c r="J21" s="7">
        <v>0</v>
      </c>
      <c r="K21" s="3">
        <v>5700</v>
      </c>
      <c r="L21" s="9">
        <v>0</v>
      </c>
      <c r="M21" s="7">
        <v>0</v>
      </c>
      <c r="N21" s="3">
        <v>4600</v>
      </c>
      <c r="O21" s="9">
        <v>0</v>
      </c>
      <c r="P21" s="7">
        <v>0</v>
      </c>
      <c r="Q21" s="3">
        <v>8900</v>
      </c>
      <c r="R21" s="9">
        <v>0</v>
      </c>
      <c r="S21" s="7">
        <v>0</v>
      </c>
      <c r="T21" s="3">
        <v>2300</v>
      </c>
      <c r="U21" s="9">
        <v>0</v>
      </c>
      <c r="V21" s="7">
        <v>0</v>
      </c>
      <c r="W21" s="3">
        <v>5800</v>
      </c>
    </row>
    <row r="22" spans="1:23" x14ac:dyDescent="0.25">
      <c r="A22">
        <v>20</v>
      </c>
      <c r="B22" s="14" t="s">
        <v>34</v>
      </c>
      <c r="C22" s="9">
        <v>0</v>
      </c>
      <c r="D22" s="7">
        <v>0</v>
      </c>
      <c r="E22" s="3">
        <v>0</v>
      </c>
      <c r="F22" s="9">
        <v>0</v>
      </c>
      <c r="G22" s="7">
        <v>0</v>
      </c>
      <c r="H22" s="3">
        <v>0</v>
      </c>
      <c r="I22" s="9">
        <v>8.6693333333333324</v>
      </c>
      <c r="J22" s="7">
        <v>3</v>
      </c>
      <c r="K22" s="3">
        <v>1500</v>
      </c>
      <c r="L22" s="9">
        <v>0</v>
      </c>
      <c r="M22" s="7">
        <v>0</v>
      </c>
      <c r="N22" s="3">
        <v>0</v>
      </c>
      <c r="O22" s="9">
        <v>0</v>
      </c>
      <c r="P22" s="7">
        <v>0</v>
      </c>
      <c r="Q22" s="3">
        <v>0</v>
      </c>
      <c r="R22" s="9">
        <v>0</v>
      </c>
      <c r="S22" s="7">
        <v>0</v>
      </c>
      <c r="T22" s="3">
        <v>0</v>
      </c>
      <c r="U22" s="9">
        <v>0</v>
      </c>
      <c r="V22" s="7">
        <v>0</v>
      </c>
      <c r="W22" s="3">
        <v>0</v>
      </c>
    </row>
    <row r="23" spans="1:23" x14ac:dyDescent="0.25">
      <c r="A23">
        <v>21</v>
      </c>
      <c r="B23" s="14" t="s">
        <v>35</v>
      </c>
      <c r="C23" s="9">
        <v>7.7997777777777779</v>
      </c>
      <c r="D23" s="7">
        <v>2</v>
      </c>
      <c r="E23" s="3">
        <v>2400</v>
      </c>
      <c r="F23" s="9">
        <v>7.9686666666666657</v>
      </c>
      <c r="G23" s="7">
        <v>3</v>
      </c>
      <c r="H23" s="3">
        <v>9400</v>
      </c>
      <c r="I23" s="9">
        <v>7.9913333333333334</v>
      </c>
      <c r="J23" s="7">
        <v>3</v>
      </c>
      <c r="K23" s="3">
        <v>7100</v>
      </c>
      <c r="L23" s="9">
        <v>0</v>
      </c>
      <c r="M23" s="7">
        <v>0</v>
      </c>
      <c r="N23" s="3">
        <v>0</v>
      </c>
      <c r="O23" s="9">
        <v>0</v>
      </c>
      <c r="P23" s="7">
        <v>0</v>
      </c>
      <c r="Q23" s="3">
        <v>0</v>
      </c>
      <c r="R23" s="9">
        <v>0</v>
      </c>
      <c r="S23" s="7">
        <v>0</v>
      </c>
      <c r="T23" s="3">
        <v>0</v>
      </c>
      <c r="U23" s="9">
        <v>0</v>
      </c>
      <c r="V23" s="7">
        <v>0</v>
      </c>
      <c r="W23" s="3">
        <v>0</v>
      </c>
    </row>
    <row r="24" spans="1:23" x14ac:dyDescent="0.25">
      <c r="A24">
        <v>22</v>
      </c>
      <c r="B24" s="14" t="s">
        <v>36</v>
      </c>
      <c r="C24" s="9">
        <v>0</v>
      </c>
      <c r="D24" s="7">
        <v>0</v>
      </c>
      <c r="E24" s="3">
        <v>0</v>
      </c>
      <c r="F24" s="9">
        <v>0</v>
      </c>
      <c r="G24" s="7">
        <v>0</v>
      </c>
      <c r="H24" s="3">
        <v>0</v>
      </c>
      <c r="I24" s="9">
        <v>0</v>
      </c>
      <c r="J24" s="7">
        <v>0</v>
      </c>
      <c r="K24" s="3">
        <v>0</v>
      </c>
      <c r="L24" s="9">
        <v>7.939111111111111</v>
      </c>
      <c r="M24" s="7">
        <v>3</v>
      </c>
      <c r="N24" s="3">
        <v>3300</v>
      </c>
      <c r="O24" s="9">
        <v>7.939111111111111</v>
      </c>
      <c r="P24" s="7">
        <v>3</v>
      </c>
      <c r="Q24" s="3">
        <v>2200</v>
      </c>
      <c r="R24" s="9">
        <v>7.939111111111111</v>
      </c>
      <c r="S24" s="7">
        <v>3</v>
      </c>
      <c r="T24" s="3">
        <v>5900</v>
      </c>
      <c r="U24" s="9">
        <v>7.939111111111111</v>
      </c>
      <c r="V24" s="7">
        <v>3</v>
      </c>
      <c r="W24" s="3">
        <v>5800</v>
      </c>
    </row>
    <row r="25" spans="1:23" x14ac:dyDescent="0.25">
      <c r="A25">
        <v>23</v>
      </c>
      <c r="B25" s="14" t="s">
        <v>37</v>
      </c>
      <c r="C25" s="9">
        <v>6.6766666666666667</v>
      </c>
      <c r="D25" s="7">
        <v>2</v>
      </c>
      <c r="E25" s="3">
        <v>3600</v>
      </c>
      <c r="F25" s="9">
        <v>8.9920000000000027</v>
      </c>
      <c r="G25" s="7">
        <v>1</v>
      </c>
      <c r="H25" s="3">
        <v>4700</v>
      </c>
      <c r="I25" s="9">
        <v>0</v>
      </c>
      <c r="J25" s="7">
        <v>0</v>
      </c>
      <c r="K25" s="3">
        <v>0</v>
      </c>
      <c r="L25" s="9">
        <v>0</v>
      </c>
      <c r="M25" s="7">
        <v>0</v>
      </c>
      <c r="N25" s="3">
        <v>0</v>
      </c>
      <c r="O25" s="9">
        <v>0</v>
      </c>
      <c r="P25" s="7">
        <v>0</v>
      </c>
      <c r="Q25" s="3">
        <v>0</v>
      </c>
      <c r="R25" s="9">
        <v>0</v>
      </c>
      <c r="S25" s="7">
        <v>0</v>
      </c>
      <c r="T25" s="3">
        <v>0</v>
      </c>
      <c r="U25" s="9">
        <v>0</v>
      </c>
      <c r="V25" s="7">
        <v>0</v>
      </c>
      <c r="W25" s="3">
        <v>0</v>
      </c>
    </row>
    <row r="26" spans="1:23" x14ac:dyDescent="0.25">
      <c r="A26">
        <v>24</v>
      </c>
      <c r="B26" s="14" t="s">
        <v>38</v>
      </c>
      <c r="C26" s="9">
        <v>0</v>
      </c>
      <c r="D26" s="7">
        <v>0</v>
      </c>
      <c r="E26" s="3">
        <v>0</v>
      </c>
      <c r="F26" s="9">
        <v>8.4213333333333349</v>
      </c>
      <c r="G26" s="7">
        <v>1</v>
      </c>
      <c r="H26" s="3">
        <v>1200</v>
      </c>
      <c r="I26" s="9">
        <v>0</v>
      </c>
      <c r="J26" s="7">
        <v>0</v>
      </c>
      <c r="K26" s="3">
        <v>0</v>
      </c>
      <c r="L26" s="9">
        <v>0</v>
      </c>
      <c r="M26" s="7">
        <v>0</v>
      </c>
      <c r="N26" s="3">
        <v>0</v>
      </c>
      <c r="O26" s="9">
        <v>0</v>
      </c>
      <c r="P26" s="7">
        <v>0</v>
      </c>
      <c r="Q26" s="3">
        <v>0</v>
      </c>
      <c r="R26" s="9">
        <v>0</v>
      </c>
      <c r="S26" s="7">
        <v>0</v>
      </c>
      <c r="T26" s="3">
        <v>0</v>
      </c>
      <c r="U26" s="9">
        <v>0</v>
      </c>
      <c r="V26" s="7">
        <v>0</v>
      </c>
      <c r="W26" s="3">
        <v>0</v>
      </c>
    </row>
    <row r="27" spans="1:23" x14ac:dyDescent="0.25">
      <c r="A27">
        <v>25</v>
      </c>
      <c r="B27" s="14" t="s">
        <v>39</v>
      </c>
      <c r="C27" s="9">
        <v>7.2297777777777776</v>
      </c>
      <c r="D27" s="7">
        <v>2</v>
      </c>
      <c r="E27" s="3">
        <v>6300</v>
      </c>
      <c r="F27" s="9">
        <v>9.5451111111111153</v>
      </c>
      <c r="G27" s="7">
        <v>1</v>
      </c>
      <c r="H27" s="3">
        <v>3000</v>
      </c>
      <c r="I27" s="9">
        <v>7.3337777777777777</v>
      </c>
      <c r="J27" s="7">
        <v>3</v>
      </c>
      <c r="K27" s="3">
        <v>8600</v>
      </c>
      <c r="L27" s="9">
        <v>7.3337777777777777</v>
      </c>
      <c r="M27" s="7">
        <v>3</v>
      </c>
      <c r="N27" s="3">
        <v>2700</v>
      </c>
      <c r="O27" s="9">
        <v>7.3337777777777777</v>
      </c>
      <c r="P27" s="7">
        <v>3</v>
      </c>
      <c r="Q27" s="3">
        <v>7900</v>
      </c>
      <c r="R27" s="9">
        <v>7.3337777777777777</v>
      </c>
      <c r="S27" s="7">
        <v>3</v>
      </c>
      <c r="T27" s="3">
        <v>3000</v>
      </c>
      <c r="U27" s="9">
        <v>7.3337777777777777</v>
      </c>
      <c r="V27" s="7">
        <v>3</v>
      </c>
      <c r="W27" s="3">
        <v>2000</v>
      </c>
    </row>
    <row r="28" spans="1:23" x14ac:dyDescent="0.25">
      <c r="A28">
        <v>26</v>
      </c>
      <c r="B28" s="14" t="s">
        <v>40</v>
      </c>
      <c r="C28" s="9">
        <v>9.2164444444444431</v>
      </c>
      <c r="D28" s="7">
        <v>1</v>
      </c>
      <c r="E28" s="3">
        <v>800</v>
      </c>
      <c r="F28" s="9">
        <v>9.3068888888888903</v>
      </c>
      <c r="G28" s="7">
        <v>2</v>
      </c>
      <c r="H28" s="3">
        <v>9000</v>
      </c>
      <c r="I28" s="9">
        <v>9.4622222222222216</v>
      </c>
      <c r="J28" s="7">
        <v>2</v>
      </c>
      <c r="K28" s="3">
        <v>8600</v>
      </c>
      <c r="L28" s="9">
        <v>9.1215555555555579</v>
      </c>
      <c r="M28" s="7">
        <v>3</v>
      </c>
      <c r="N28" s="3">
        <v>9100</v>
      </c>
      <c r="O28" s="9">
        <v>9.1215555555555579</v>
      </c>
      <c r="P28" s="7">
        <v>3</v>
      </c>
      <c r="Q28" s="3">
        <v>5000</v>
      </c>
      <c r="R28" s="9">
        <v>9.1215555555555579</v>
      </c>
      <c r="S28" s="7">
        <v>3</v>
      </c>
      <c r="T28" s="3">
        <v>3800</v>
      </c>
      <c r="U28" s="9">
        <v>9.1215555555555579</v>
      </c>
      <c r="V28" s="7">
        <v>3</v>
      </c>
      <c r="W28" s="3">
        <v>6700</v>
      </c>
    </row>
    <row r="29" spans="1:23" x14ac:dyDescent="0.25">
      <c r="A29">
        <v>27</v>
      </c>
      <c r="B29" s="14" t="s">
        <v>41</v>
      </c>
      <c r="C29" s="9">
        <v>1.0477777777777777</v>
      </c>
      <c r="D29" s="7">
        <v>3</v>
      </c>
      <c r="E29" s="3">
        <v>1000</v>
      </c>
      <c r="F29" s="9">
        <v>6.7653333333333334</v>
      </c>
      <c r="G29" s="7">
        <v>3</v>
      </c>
      <c r="H29" s="3">
        <v>4900</v>
      </c>
      <c r="I29" s="9">
        <v>6.7653333333333334</v>
      </c>
      <c r="J29" s="7">
        <v>3</v>
      </c>
      <c r="K29" s="3">
        <v>6400</v>
      </c>
      <c r="L29" s="9">
        <v>6.7653333333333334</v>
      </c>
      <c r="M29" s="7">
        <v>3</v>
      </c>
      <c r="N29" s="3">
        <v>5400</v>
      </c>
      <c r="O29" s="9">
        <v>6.7653333333333334</v>
      </c>
      <c r="P29" s="7">
        <v>3</v>
      </c>
      <c r="Q29" s="3">
        <v>8300</v>
      </c>
      <c r="R29" s="9">
        <v>6.7653333333333334</v>
      </c>
      <c r="S29" s="7">
        <v>3</v>
      </c>
      <c r="T29" s="3">
        <v>4500</v>
      </c>
      <c r="U29" s="9">
        <v>6.7653333333333334</v>
      </c>
      <c r="V29" s="7">
        <v>3</v>
      </c>
      <c r="W29" s="3">
        <v>7800</v>
      </c>
    </row>
    <row r="30" spans="1:23" x14ac:dyDescent="0.25">
      <c r="A30">
        <v>28</v>
      </c>
      <c r="B30" s="14" t="s">
        <v>42</v>
      </c>
      <c r="C30" s="9">
        <v>0</v>
      </c>
      <c r="D30" s="7">
        <v>0</v>
      </c>
      <c r="E30" s="3">
        <v>0</v>
      </c>
      <c r="F30" s="9">
        <v>0</v>
      </c>
      <c r="G30" s="7">
        <v>0</v>
      </c>
      <c r="H30" s="3">
        <v>0</v>
      </c>
      <c r="I30" s="9">
        <v>6.9631111111111119</v>
      </c>
      <c r="J30" s="7">
        <v>1</v>
      </c>
      <c r="K30" s="3">
        <v>4100</v>
      </c>
      <c r="L30" s="9">
        <v>6.9631111111111119</v>
      </c>
      <c r="M30" s="7">
        <v>1</v>
      </c>
      <c r="N30" s="3">
        <v>7600</v>
      </c>
      <c r="O30" s="9">
        <v>6.9631111111111119</v>
      </c>
      <c r="P30" s="7">
        <v>1</v>
      </c>
      <c r="Q30" s="3">
        <v>9300</v>
      </c>
      <c r="R30" s="9">
        <v>6.9631111111111119</v>
      </c>
      <c r="S30" s="7">
        <v>1</v>
      </c>
      <c r="T30" s="3">
        <v>2100</v>
      </c>
      <c r="U30" s="9">
        <v>6.9631111111111119</v>
      </c>
      <c r="V30" s="7">
        <v>1</v>
      </c>
      <c r="W30" s="3">
        <v>5600</v>
      </c>
    </row>
    <row r="31" spans="1:23" x14ac:dyDescent="0.25">
      <c r="A31">
        <v>29</v>
      </c>
      <c r="B31" s="14" t="s">
        <v>43</v>
      </c>
      <c r="C31" s="9">
        <v>0</v>
      </c>
      <c r="D31" s="7">
        <v>0</v>
      </c>
      <c r="E31" s="3">
        <v>0</v>
      </c>
      <c r="F31" s="9">
        <v>0</v>
      </c>
      <c r="G31" s="7">
        <v>0</v>
      </c>
      <c r="H31" s="3">
        <v>0</v>
      </c>
      <c r="I31" s="9">
        <v>0</v>
      </c>
      <c r="J31" s="7">
        <v>0</v>
      </c>
      <c r="K31" s="3">
        <v>0</v>
      </c>
      <c r="L31" s="9">
        <v>0</v>
      </c>
      <c r="M31" s="7">
        <v>0</v>
      </c>
      <c r="N31" s="3">
        <v>0</v>
      </c>
      <c r="O31" s="9">
        <v>0</v>
      </c>
      <c r="P31" s="7">
        <v>0</v>
      </c>
      <c r="Q31" s="3">
        <v>0</v>
      </c>
      <c r="R31" s="9">
        <v>0</v>
      </c>
      <c r="S31" s="7">
        <v>0</v>
      </c>
      <c r="T31" s="3">
        <v>0</v>
      </c>
      <c r="U31" s="9">
        <v>0</v>
      </c>
      <c r="V31" s="7">
        <v>0</v>
      </c>
      <c r="W31" s="3">
        <v>0</v>
      </c>
    </row>
    <row r="32" spans="1:23" x14ac:dyDescent="0.25">
      <c r="A32">
        <v>30</v>
      </c>
      <c r="B32" s="14" t="s">
        <v>44</v>
      </c>
      <c r="C32" s="9">
        <v>0</v>
      </c>
      <c r="D32" s="7">
        <v>0</v>
      </c>
      <c r="E32" s="3">
        <v>0</v>
      </c>
      <c r="F32" s="9">
        <v>0</v>
      </c>
      <c r="G32" s="7">
        <v>0</v>
      </c>
      <c r="H32" s="3">
        <v>0</v>
      </c>
      <c r="I32" s="9">
        <v>0</v>
      </c>
      <c r="J32" s="7">
        <v>0</v>
      </c>
      <c r="K32" s="3">
        <v>0</v>
      </c>
      <c r="L32" s="9">
        <v>7.6428888888888888</v>
      </c>
      <c r="M32" s="7">
        <v>3</v>
      </c>
      <c r="N32" s="3">
        <v>3400</v>
      </c>
      <c r="O32" s="9">
        <v>7.6428888888888888</v>
      </c>
      <c r="P32" s="7">
        <v>3</v>
      </c>
      <c r="Q32" s="3">
        <v>9000</v>
      </c>
      <c r="R32" s="9">
        <v>7.6428888888888888</v>
      </c>
      <c r="S32" s="7">
        <v>3</v>
      </c>
      <c r="T32" s="3">
        <v>5700</v>
      </c>
      <c r="U32" s="9">
        <v>7.6428888888888888</v>
      </c>
      <c r="V32" s="7">
        <v>3</v>
      </c>
      <c r="W32" s="3">
        <v>2300</v>
      </c>
    </row>
    <row r="33" spans="1:23" x14ac:dyDescent="0.25">
      <c r="A33">
        <v>31</v>
      </c>
      <c r="B33" s="14" t="s">
        <v>45</v>
      </c>
      <c r="C33" s="9">
        <v>0</v>
      </c>
      <c r="D33" s="7">
        <v>0</v>
      </c>
      <c r="E33" s="3">
        <v>0</v>
      </c>
      <c r="F33" s="9">
        <v>7.7462222222222232</v>
      </c>
      <c r="G33" s="7">
        <v>1</v>
      </c>
      <c r="H33" s="3">
        <v>100</v>
      </c>
      <c r="I33" s="9">
        <v>9.171555555555555</v>
      </c>
      <c r="J33" s="7">
        <v>1</v>
      </c>
      <c r="K33" s="3">
        <v>9400</v>
      </c>
      <c r="L33" s="9">
        <v>9.171555555555555</v>
      </c>
      <c r="M33" s="7">
        <v>1</v>
      </c>
      <c r="N33" s="3">
        <v>9400</v>
      </c>
      <c r="O33" s="9">
        <v>9.171555555555555</v>
      </c>
      <c r="P33" s="7">
        <v>1</v>
      </c>
      <c r="Q33" s="3">
        <v>3600</v>
      </c>
      <c r="R33" s="9">
        <v>9.171555555555555</v>
      </c>
      <c r="S33" s="7">
        <v>1</v>
      </c>
      <c r="T33" s="3">
        <v>6700</v>
      </c>
      <c r="U33" s="9">
        <v>9.171555555555555</v>
      </c>
      <c r="V33" s="7">
        <v>1</v>
      </c>
      <c r="W33" s="3">
        <v>3300</v>
      </c>
    </row>
    <row r="34" spans="1:23" x14ac:dyDescent="0.25">
      <c r="A34">
        <v>32</v>
      </c>
      <c r="B34" s="14" t="s">
        <v>46</v>
      </c>
      <c r="C34" s="9">
        <v>7.5202222222222224</v>
      </c>
      <c r="D34" s="7">
        <v>2</v>
      </c>
      <c r="E34" s="3">
        <v>900</v>
      </c>
      <c r="F34" s="9">
        <v>7.043333333333333</v>
      </c>
      <c r="G34" s="7">
        <v>3</v>
      </c>
      <c r="H34" s="3">
        <v>3800</v>
      </c>
      <c r="I34" s="9">
        <v>7.043333333333333</v>
      </c>
      <c r="J34" s="7">
        <v>3</v>
      </c>
      <c r="K34" s="3">
        <v>8800</v>
      </c>
      <c r="L34" s="9">
        <v>7.043333333333333</v>
      </c>
      <c r="M34" s="7">
        <v>3</v>
      </c>
      <c r="N34" s="3">
        <v>9200</v>
      </c>
      <c r="O34" s="9">
        <v>7.043333333333333</v>
      </c>
      <c r="P34" s="7">
        <v>3</v>
      </c>
      <c r="Q34" s="3">
        <v>7100</v>
      </c>
      <c r="R34" s="9">
        <v>7.043333333333333</v>
      </c>
      <c r="S34" s="7">
        <v>3</v>
      </c>
      <c r="T34" s="3">
        <v>4600</v>
      </c>
      <c r="U34" s="9">
        <v>7.043333333333333</v>
      </c>
      <c r="V34" s="7">
        <v>3</v>
      </c>
      <c r="W34" s="3">
        <v>5500</v>
      </c>
    </row>
    <row r="35" spans="1:23" x14ac:dyDescent="0.25">
      <c r="A35">
        <v>33</v>
      </c>
      <c r="B35" s="14" t="s">
        <v>47</v>
      </c>
      <c r="C35" s="9">
        <v>0</v>
      </c>
      <c r="D35" s="7">
        <v>0</v>
      </c>
      <c r="E35" s="3">
        <v>0</v>
      </c>
      <c r="F35" s="9">
        <v>6.1468888888888884</v>
      </c>
      <c r="G35" s="7">
        <v>3</v>
      </c>
      <c r="H35" s="3">
        <v>8700</v>
      </c>
      <c r="I35" s="9">
        <v>6.1468888888888884</v>
      </c>
      <c r="J35" s="7">
        <v>3</v>
      </c>
      <c r="K35" s="3">
        <v>6200</v>
      </c>
      <c r="L35" s="9">
        <v>6.1468888888888884</v>
      </c>
      <c r="M35" s="7">
        <v>3</v>
      </c>
      <c r="N35" s="3">
        <v>7900</v>
      </c>
      <c r="O35" s="9">
        <v>6.1468888888888884</v>
      </c>
      <c r="P35" s="7">
        <v>3</v>
      </c>
      <c r="Q35" s="3">
        <v>7800</v>
      </c>
      <c r="R35" s="9">
        <v>6.1468888888888884</v>
      </c>
      <c r="S35" s="7">
        <v>3</v>
      </c>
      <c r="T35" s="3">
        <v>5100</v>
      </c>
      <c r="U35" s="9">
        <v>6.1468888888888884</v>
      </c>
      <c r="V35" s="7">
        <v>3</v>
      </c>
      <c r="W35" s="3">
        <v>7600</v>
      </c>
    </row>
    <row r="36" spans="1:23" x14ac:dyDescent="0.25">
      <c r="A36">
        <v>34</v>
      </c>
      <c r="B36" s="14" t="s">
        <v>48</v>
      </c>
      <c r="C36" s="9">
        <v>8.0862222222222222</v>
      </c>
      <c r="D36" s="7">
        <v>2</v>
      </c>
      <c r="E36" s="3">
        <v>1300</v>
      </c>
      <c r="F36" s="9">
        <v>0</v>
      </c>
      <c r="G36" s="7">
        <v>0</v>
      </c>
      <c r="H36" s="3">
        <v>0</v>
      </c>
      <c r="I36" s="9">
        <v>8.964888888888888</v>
      </c>
      <c r="J36" s="7">
        <v>3</v>
      </c>
      <c r="K36" s="3">
        <v>3700</v>
      </c>
      <c r="L36" s="9">
        <v>8.2122222222222234</v>
      </c>
      <c r="M36" s="7">
        <v>3</v>
      </c>
      <c r="N36" s="3">
        <v>3100</v>
      </c>
      <c r="O36" s="9">
        <v>8.2122222222222234</v>
      </c>
      <c r="P36" s="7">
        <v>3</v>
      </c>
      <c r="Q36" s="3">
        <v>9500</v>
      </c>
      <c r="R36" s="9">
        <v>8.2122222222222234</v>
      </c>
      <c r="S36" s="7">
        <v>3</v>
      </c>
      <c r="T36" s="3">
        <v>4400</v>
      </c>
      <c r="U36" s="9">
        <v>8.2122222222222234</v>
      </c>
      <c r="V36" s="7">
        <v>3</v>
      </c>
      <c r="W36" s="3">
        <v>6900</v>
      </c>
    </row>
    <row r="37" spans="1:23" x14ac:dyDescent="0.25">
      <c r="A37">
        <v>35</v>
      </c>
      <c r="B37" s="14" t="s">
        <v>49</v>
      </c>
      <c r="C37" s="9">
        <v>5.8495555555555558</v>
      </c>
      <c r="D37" s="7">
        <v>2</v>
      </c>
      <c r="E37" s="3">
        <v>2500</v>
      </c>
      <c r="F37" s="9">
        <v>0</v>
      </c>
      <c r="G37" s="7">
        <v>0</v>
      </c>
      <c r="H37" s="3">
        <v>0</v>
      </c>
      <c r="I37" s="9">
        <v>0</v>
      </c>
      <c r="J37" s="7">
        <v>0</v>
      </c>
      <c r="K37" s="3">
        <v>0</v>
      </c>
      <c r="L37" s="9">
        <v>0</v>
      </c>
      <c r="M37" s="7">
        <v>0</v>
      </c>
      <c r="N37" s="3">
        <v>0</v>
      </c>
      <c r="O37" s="9">
        <v>0</v>
      </c>
      <c r="P37" s="7">
        <v>0</v>
      </c>
      <c r="Q37" s="3">
        <v>0</v>
      </c>
      <c r="R37" s="9">
        <v>0</v>
      </c>
      <c r="S37" s="7">
        <v>0</v>
      </c>
      <c r="T37" s="3">
        <v>0</v>
      </c>
      <c r="U37" s="9">
        <v>0</v>
      </c>
      <c r="V37" s="7">
        <v>0</v>
      </c>
      <c r="W37" s="3">
        <v>0</v>
      </c>
    </row>
    <row r="38" spans="1:23" x14ac:dyDescent="0.25">
      <c r="A38">
        <v>36</v>
      </c>
      <c r="B38" s="14" t="s">
        <v>50</v>
      </c>
      <c r="C38" s="9">
        <v>0</v>
      </c>
      <c r="D38" s="7">
        <v>0</v>
      </c>
      <c r="E38" s="3">
        <v>0</v>
      </c>
      <c r="F38" s="9">
        <v>0</v>
      </c>
      <c r="G38" s="7">
        <v>0</v>
      </c>
      <c r="H38" s="3">
        <v>0</v>
      </c>
      <c r="I38" s="9">
        <v>9.4515555555555544</v>
      </c>
      <c r="J38" s="7">
        <v>1</v>
      </c>
      <c r="K38" s="3">
        <v>4000</v>
      </c>
      <c r="L38" s="9">
        <v>9.4515555555555544</v>
      </c>
      <c r="M38" s="7">
        <v>1</v>
      </c>
      <c r="N38" s="3">
        <v>7500</v>
      </c>
      <c r="O38" s="9">
        <v>9.4515555555555544</v>
      </c>
      <c r="P38" s="7">
        <v>1</v>
      </c>
      <c r="Q38" s="3">
        <v>10000</v>
      </c>
      <c r="R38" s="9">
        <v>9.4515555555555544</v>
      </c>
      <c r="S38" s="7">
        <v>1</v>
      </c>
      <c r="T38" s="3">
        <v>6100</v>
      </c>
      <c r="U38" s="9">
        <v>9.4515555555555544</v>
      </c>
      <c r="V38" s="7">
        <v>1</v>
      </c>
      <c r="W38" s="3">
        <v>6800</v>
      </c>
    </row>
    <row r="39" spans="1:23" x14ac:dyDescent="0.25">
      <c r="A39">
        <v>37</v>
      </c>
      <c r="B39" s="14" t="s">
        <v>51</v>
      </c>
      <c r="C39" s="9">
        <v>0.12755555555555556</v>
      </c>
      <c r="D39" s="7">
        <v>3</v>
      </c>
      <c r="E39" s="3">
        <v>500</v>
      </c>
      <c r="F39" s="9">
        <v>8.1244444444444461</v>
      </c>
      <c r="G39" s="7">
        <v>2</v>
      </c>
      <c r="H39" s="3">
        <v>9900</v>
      </c>
      <c r="I39" s="9">
        <v>8.2797777777777775</v>
      </c>
      <c r="J39" s="7">
        <v>2</v>
      </c>
      <c r="K39" s="3">
        <v>4000</v>
      </c>
      <c r="L39" s="9">
        <v>9.2284444444444453</v>
      </c>
      <c r="M39" s="7">
        <v>2</v>
      </c>
      <c r="N39" s="3">
        <v>3800</v>
      </c>
      <c r="O39" s="9">
        <v>9.2284444444444453</v>
      </c>
      <c r="P39" s="7">
        <v>2</v>
      </c>
      <c r="Q39" s="3">
        <v>2800</v>
      </c>
      <c r="R39" s="9">
        <v>9.2284444444444453</v>
      </c>
      <c r="S39" s="7">
        <v>2</v>
      </c>
      <c r="T39" s="3">
        <v>8500</v>
      </c>
      <c r="U39" s="9">
        <v>9.2284444444444453</v>
      </c>
      <c r="V39" s="7">
        <v>2</v>
      </c>
      <c r="W39" s="3">
        <v>4100</v>
      </c>
    </row>
    <row r="40" spans="1:23" x14ac:dyDescent="0.25">
      <c r="A40">
        <v>38</v>
      </c>
      <c r="B40" s="14" t="s">
        <v>52</v>
      </c>
      <c r="C40" s="9">
        <v>0</v>
      </c>
      <c r="D40" s="7">
        <v>0</v>
      </c>
      <c r="E40" s="3">
        <v>0</v>
      </c>
      <c r="F40" s="9">
        <v>9.6560000000000006</v>
      </c>
      <c r="G40" s="7">
        <v>2</v>
      </c>
      <c r="H40" s="3">
        <v>300</v>
      </c>
      <c r="I40" s="9">
        <v>7.6626666666666665</v>
      </c>
      <c r="J40" s="7">
        <v>3</v>
      </c>
      <c r="K40" s="3">
        <v>10000</v>
      </c>
      <c r="L40" s="9">
        <v>0</v>
      </c>
      <c r="M40" s="7">
        <v>0</v>
      </c>
      <c r="N40" s="3">
        <v>0</v>
      </c>
      <c r="O40" s="9">
        <v>0</v>
      </c>
      <c r="P40" s="7">
        <v>0</v>
      </c>
      <c r="Q40" s="3">
        <v>0</v>
      </c>
      <c r="R40" s="9">
        <v>0</v>
      </c>
      <c r="S40" s="7">
        <v>0</v>
      </c>
      <c r="T40" s="3">
        <v>0</v>
      </c>
      <c r="U40" s="9">
        <v>0</v>
      </c>
      <c r="V40" s="7">
        <v>0</v>
      </c>
      <c r="W40" s="3">
        <v>0</v>
      </c>
    </row>
    <row r="41" spans="1:23" x14ac:dyDescent="0.25">
      <c r="A41">
        <v>39</v>
      </c>
      <c r="B41" s="14" t="s">
        <v>53</v>
      </c>
      <c r="C41" s="9">
        <v>6.1191111111111116</v>
      </c>
      <c r="D41" s="7">
        <v>2</v>
      </c>
      <c r="E41" s="3">
        <v>1200</v>
      </c>
      <c r="F41" s="9">
        <v>0</v>
      </c>
      <c r="G41" s="7">
        <v>0</v>
      </c>
      <c r="H41" s="3">
        <v>0</v>
      </c>
      <c r="I41" s="9">
        <v>0</v>
      </c>
      <c r="J41" s="7">
        <v>0</v>
      </c>
      <c r="K41" s="3">
        <v>0</v>
      </c>
      <c r="L41" s="9">
        <v>0</v>
      </c>
      <c r="M41" s="7">
        <v>0</v>
      </c>
      <c r="N41" s="3">
        <v>0</v>
      </c>
      <c r="O41" s="9">
        <v>0</v>
      </c>
      <c r="P41" s="7">
        <v>0</v>
      </c>
      <c r="Q41" s="3">
        <v>0</v>
      </c>
      <c r="R41" s="9">
        <v>0</v>
      </c>
      <c r="S41" s="7">
        <v>0</v>
      </c>
      <c r="T41" s="3">
        <v>0</v>
      </c>
      <c r="U41" s="9">
        <v>0</v>
      </c>
      <c r="V41" s="7">
        <v>0</v>
      </c>
      <c r="W41" s="3">
        <v>0</v>
      </c>
    </row>
    <row r="42" spans="1:23" x14ac:dyDescent="0.25">
      <c r="C42">
        <v>8.5875555555555554</v>
      </c>
      <c r="D42">
        <v>1</v>
      </c>
      <c r="E42">
        <v>1700</v>
      </c>
      <c r="F42">
        <v>7.1220000000000008</v>
      </c>
      <c r="G42">
        <v>1</v>
      </c>
      <c r="H42">
        <v>9600</v>
      </c>
      <c r="I42">
        <v>8.2766666666666673</v>
      </c>
      <c r="J42">
        <v>1</v>
      </c>
      <c r="K42">
        <v>8300</v>
      </c>
      <c r="L42">
        <v>8.2766666666666673</v>
      </c>
      <c r="M42">
        <v>1</v>
      </c>
      <c r="N42">
        <v>6900</v>
      </c>
      <c r="O42">
        <v>8.2766666666666673</v>
      </c>
      <c r="P42">
        <v>1</v>
      </c>
      <c r="Q42">
        <v>4400</v>
      </c>
      <c r="R42">
        <v>8.2766666666666673</v>
      </c>
      <c r="S42">
        <v>1</v>
      </c>
      <c r="T42">
        <v>8300</v>
      </c>
      <c r="U42">
        <v>8.2766666666666673</v>
      </c>
      <c r="V42">
        <v>1</v>
      </c>
      <c r="W42">
        <v>5900</v>
      </c>
    </row>
    <row r="43" spans="1:23" x14ac:dyDescent="0.25">
      <c r="C43">
        <v>6.3864444444444448</v>
      </c>
      <c r="D43">
        <v>2</v>
      </c>
      <c r="E43">
        <v>3900</v>
      </c>
      <c r="F43">
        <v>8.7017777777777798</v>
      </c>
      <c r="G43">
        <v>1</v>
      </c>
      <c r="H43">
        <v>4100</v>
      </c>
      <c r="I43">
        <v>8.325333333333333</v>
      </c>
      <c r="J43">
        <v>3</v>
      </c>
      <c r="K43">
        <v>6500</v>
      </c>
      <c r="L43">
        <v>0</v>
      </c>
      <c r="M43">
        <v>0</v>
      </c>
      <c r="N43">
        <v>0</v>
      </c>
      <c r="O43">
        <v>0</v>
      </c>
      <c r="P43">
        <v>0</v>
      </c>
      <c r="Q43">
        <v>0</v>
      </c>
      <c r="R43">
        <v>0</v>
      </c>
      <c r="S43">
        <v>0</v>
      </c>
      <c r="T43">
        <v>0</v>
      </c>
      <c r="U43">
        <v>0</v>
      </c>
      <c r="V43">
        <v>0</v>
      </c>
      <c r="W43">
        <v>0</v>
      </c>
    </row>
    <row r="44" spans="1:23" x14ac:dyDescent="0.25">
      <c r="C44">
        <v>1.689111111111111</v>
      </c>
      <c r="D44">
        <v>3</v>
      </c>
      <c r="E44">
        <v>7800</v>
      </c>
      <c r="F44">
        <v>7.6644444444444435</v>
      </c>
      <c r="G44">
        <v>3</v>
      </c>
      <c r="H44">
        <v>7300</v>
      </c>
      <c r="I44">
        <v>0</v>
      </c>
      <c r="J44">
        <v>0</v>
      </c>
      <c r="K44">
        <v>0</v>
      </c>
      <c r="L44">
        <v>8.8162222222222244</v>
      </c>
      <c r="M44">
        <v>3</v>
      </c>
      <c r="N44">
        <v>6600</v>
      </c>
      <c r="O44">
        <v>8.8162222222222244</v>
      </c>
      <c r="P44">
        <v>3</v>
      </c>
      <c r="Q44">
        <v>4800</v>
      </c>
      <c r="R44">
        <v>8.8162222222222244</v>
      </c>
      <c r="S44">
        <v>3</v>
      </c>
      <c r="T44">
        <v>3800</v>
      </c>
      <c r="U44">
        <v>8.8162222222222244</v>
      </c>
      <c r="V44">
        <v>3</v>
      </c>
      <c r="W44">
        <v>8900</v>
      </c>
    </row>
    <row r="45" spans="1:23" x14ac:dyDescent="0.25">
      <c r="C45">
        <v>5.5542222222222222</v>
      </c>
      <c r="D45">
        <v>2</v>
      </c>
      <c r="E45">
        <v>4800</v>
      </c>
      <c r="F45">
        <v>8.0966666666666676</v>
      </c>
      <c r="G45">
        <v>1</v>
      </c>
      <c r="H45">
        <v>4200</v>
      </c>
      <c r="I45">
        <v>0</v>
      </c>
      <c r="J45">
        <v>0</v>
      </c>
      <c r="K45">
        <v>0</v>
      </c>
      <c r="L45">
        <v>9.5126666666666697</v>
      </c>
      <c r="M45">
        <v>3</v>
      </c>
      <c r="N45">
        <v>4900</v>
      </c>
      <c r="O45">
        <v>9.5126666666666697</v>
      </c>
      <c r="P45">
        <v>3</v>
      </c>
      <c r="Q45">
        <v>9200</v>
      </c>
      <c r="R45">
        <v>9.5126666666666697</v>
      </c>
      <c r="S45">
        <v>3</v>
      </c>
      <c r="T45">
        <v>7500</v>
      </c>
      <c r="U45">
        <v>9.5126666666666697</v>
      </c>
      <c r="V45">
        <v>3</v>
      </c>
      <c r="W45">
        <v>5800</v>
      </c>
    </row>
    <row r="46" spans="1:23" x14ac:dyDescent="0.25">
      <c r="C46">
        <v>6.9495555555555555</v>
      </c>
      <c r="D46">
        <v>2</v>
      </c>
      <c r="E46">
        <v>4500</v>
      </c>
      <c r="F46">
        <v>9.2648888888888923</v>
      </c>
      <c r="G46">
        <v>1</v>
      </c>
      <c r="H46">
        <v>7700</v>
      </c>
      <c r="I46">
        <v>0</v>
      </c>
      <c r="J46">
        <v>0</v>
      </c>
      <c r="K46">
        <v>0</v>
      </c>
      <c r="L46">
        <v>0</v>
      </c>
      <c r="M46">
        <v>0</v>
      </c>
      <c r="N46">
        <v>0</v>
      </c>
      <c r="O46">
        <v>0</v>
      </c>
      <c r="P46">
        <v>0</v>
      </c>
      <c r="Q46">
        <v>0</v>
      </c>
      <c r="R46">
        <v>0</v>
      </c>
      <c r="S46">
        <v>0</v>
      </c>
      <c r="T46">
        <v>0</v>
      </c>
      <c r="U46">
        <v>0</v>
      </c>
      <c r="V46">
        <v>0</v>
      </c>
      <c r="W46">
        <v>0</v>
      </c>
    </row>
    <row r="47" spans="1:23" x14ac:dyDescent="0.25">
      <c r="C47">
        <v>0.71333333333333337</v>
      </c>
      <c r="D47">
        <v>3</v>
      </c>
      <c r="E47">
        <v>6000</v>
      </c>
      <c r="F47">
        <v>8.7102222222222245</v>
      </c>
      <c r="G47">
        <v>2</v>
      </c>
      <c r="H47">
        <v>2900</v>
      </c>
      <c r="I47">
        <v>8.8655555555555559</v>
      </c>
      <c r="J47">
        <v>2</v>
      </c>
      <c r="K47">
        <v>5700</v>
      </c>
      <c r="L47">
        <v>0</v>
      </c>
      <c r="M47">
        <v>0</v>
      </c>
      <c r="N47">
        <v>0</v>
      </c>
      <c r="O47">
        <v>0</v>
      </c>
      <c r="P47">
        <v>0</v>
      </c>
      <c r="Q47">
        <v>0</v>
      </c>
      <c r="R47">
        <v>0</v>
      </c>
      <c r="S47">
        <v>0</v>
      </c>
      <c r="T47">
        <v>0</v>
      </c>
      <c r="U47">
        <v>0</v>
      </c>
      <c r="V47">
        <v>0</v>
      </c>
      <c r="W47">
        <v>0</v>
      </c>
    </row>
    <row r="48" spans="1:23" x14ac:dyDescent="0.25">
      <c r="C48">
        <v>1.3755555555555554</v>
      </c>
      <c r="D48">
        <v>3</v>
      </c>
      <c r="E48">
        <v>5100</v>
      </c>
      <c r="F48">
        <v>7.3508888888888881</v>
      </c>
      <c r="G48">
        <v>3</v>
      </c>
      <c r="H48">
        <v>5500</v>
      </c>
      <c r="I48">
        <v>0</v>
      </c>
      <c r="J48">
        <v>0</v>
      </c>
      <c r="K48">
        <v>0</v>
      </c>
      <c r="L48">
        <v>8.5026666666666681</v>
      </c>
      <c r="M48">
        <v>3</v>
      </c>
      <c r="N48">
        <v>2700</v>
      </c>
      <c r="O48">
        <v>8.5026666666666681</v>
      </c>
      <c r="P48">
        <v>3</v>
      </c>
      <c r="Q48">
        <v>5600</v>
      </c>
      <c r="R48">
        <v>8.5026666666666681</v>
      </c>
      <c r="S48">
        <v>3</v>
      </c>
      <c r="T48">
        <v>3400</v>
      </c>
      <c r="U48">
        <v>8.5026666666666681</v>
      </c>
      <c r="V48">
        <v>3</v>
      </c>
      <c r="W48">
        <v>5900</v>
      </c>
    </row>
    <row r="49" spans="3:23" x14ac:dyDescent="0.25">
      <c r="C49">
        <v>0</v>
      </c>
      <c r="D49">
        <v>0</v>
      </c>
      <c r="E49">
        <v>0</v>
      </c>
      <c r="F49">
        <v>6.5600000000000005</v>
      </c>
      <c r="G49">
        <v>1</v>
      </c>
      <c r="H49">
        <v>7800</v>
      </c>
      <c r="I49">
        <v>7.7146666666666679</v>
      </c>
      <c r="J49">
        <v>1</v>
      </c>
      <c r="K49">
        <v>7100</v>
      </c>
      <c r="L49">
        <v>7.7146666666666679</v>
      </c>
      <c r="M49">
        <v>1</v>
      </c>
      <c r="N49">
        <v>6600</v>
      </c>
      <c r="O49">
        <v>7.7146666666666679</v>
      </c>
      <c r="P49">
        <v>1</v>
      </c>
      <c r="Q49">
        <v>3500</v>
      </c>
      <c r="R49">
        <v>7.7146666666666679</v>
      </c>
      <c r="S49">
        <v>1</v>
      </c>
      <c r="T49">
        <v>9700</v>
      </c>
      <c r="U49">
        <v>7.7146666666666679</v>
      </c>
      <c r="V49">
        <v>1</v>
      </c>
      <c r="W49">
        <v>2400</v>
      </c>
    </row>
    <row r="50" spans="3:23" x14ac:dyDescent="0.25">
      <c r="C50">
        <v>0</v>
      </c>
      <c r="D50">
        <v>0</v>
      </c>
      <c r="E50">
        <v>0</v>
      </c>
      <c r="F50">
        <v>7.4526666666666674</v>
      </c>
      <c r="G50">
        <v>1</v>
      </c>
      <c r="H50">
        <v>900</v>
      </c>
      <c r="I50">
        <v>8.8780000000000001</v>
      </c>
      <c r="J50">
        <v>1</v>
      </c>
      <c r="K50">
        <v>9200</v>
      </c>
      <c r="L50">
        <v>8.8780000000000001</v>
      </c>
      <c r="M50">
        <v>1</v>
      </c>
      <c r="N50">
        <v>3300</v>
      </c>
      <c r="O50">
        <v>8.8780000000000001</v>
      </c>
      <c r="P50">
        <v>1</v>
      </c>
      <c r="Q50">
        <v>2200</v>
      </c>
      <c r="R50">
        <v>8.8780000000000001</v>
      </c>
      <c r="S50">
        <v>1</v>
      </c>
      <c r="T50">
        <v>5900</v>
      </c>
      <c r="U50">
        <v>8.8780000000000001</v>
      </c>
      <c r="V50">
        <v>1</v>
      </c>
      <c r="W50">
        <v>5800</v>
      </c>
    </row>
    <row r="51" spans="3:23" x14ac:dyDescent="0.25">
      <c r="C51">
        <v>0.41466666666666668</v>
      </c>
      <c r="D51">
        <v>3</v>
      </c>
      <c r="E51">
        <v>600</v>
      </c>
      <c r="F51">
        <v>8.411555555555557</v>
      </c>
      <c r="G51">
        <v>2</v>
      </c>
      <c r="H51">
        <v>4700</v>
      </c>
      <c r="I51">
        <v>8.5668888888888883</v>
      </c>
      <c r="J51">
        <v>2</v>
      </c>
      <c r="K51">
        <v>8400</v>
      </c>
      <c r="L51">
        <v>9.5155555555555562</v>
      </c>
      <c r="M51">
        <v>2</v>
      </c>
      <c r="N51">
        <v>8000</v>
      </c>
      <c r="O51">
        <v>9.5155555555555562</v>
      </c>
      <c r="P51">
        <v>2</v>
      </c>
      <c r="Q51">
        <v>7800</v>
      </c>
      <c r="R51">
        <v>9.5155555555555562</v>
      </c>
      <c r="S51">
        <v>2</v>
      </c>
      <c r="T51">
        <v>6000</v>
      </c>
      <c r="U51">
        <v>9.5155555555555562</v>
      </c>
      <c r="V51">
        <v>2</v>
      </c>
      <c r="W51">
        <v>8400</v>
      </c>
    </row>
    <row r="52" spans="3:23" x14ac:dyDescent="0.25">
      <c r="C52">
        <v>7.9233333333333338</v>
      </c>
      <c r="D52">
        <v>1</v>
      </c>
      <c r="E52">
        <v>1600</v>
      </c>
      <c r="F52">
        <v>6.1771111111111114</v>
      </c>
      <c r="G52">
        <v>1</v>
      </c>
      <c r="H52">
        <v>4600</v>
      </c>
      <c r="I52">
        <v>7.3317777777777788</v>
      </c>
      <c r="J52">
        <v>1</v>
      </c>
      <c r="K52">
        <v>7700</v>
      </c>
      <c r="L52">
        <v>7.3317777777777788</v>
      </c>
      <c r="M52">
        <v>1</v>
      </c>
      <c r="N52">
        <v>2400</v>
      </c>
      <c r="O52">
        <v>7.3317777777777788</v>
      </c>
      <c r="P52">
        <v>1</v>
      </c>
      <c r="Q52">
        <v>5300</v>
      </c>
      <c r="R52">
        <v>7.3317777777777788</v>
      </c>
      <c r="S52">
        <v>1</v>
      </c>
      <c r="T52">
        <v>2300</v>
      </c>
      <c r="U52">
        <v>7.3317777777777788</v>
      </c>
      <c r="V52">
        <v>1</v>
      </c>
      <c r="W52">
        <v>2900</v>
      </c>
    </row>
  </sheetData>
  <mergeCells count="9">
    <mergeCell ref="O1:Q1"/>
    <mergeCell ref="R1:T1"/>
    <mergeCell ref="U1:W1"/>
    <mergeCell ref="A1:A2"/>
    <mergeCell ref="B1:B2"/>
    <mergeCell ref="C1:E1"/>
    <mergeCell ref="F1:H1"/>
    <mergeCell ref="I1:K1"/>
    <mergeCell ref="L1:N1"/>
  </mergeCells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H3"/>
  <sheetViews>
    <sheetView workbookViewId="0">
      <selection activeCell="B1" sqref="B1:D1"/>
    </sheetView>
  </sheetViews>
  <sheetFormatPr defaultRowHeight="15" x14ac:dyDescent="0.25"/>
  <sheetData>
    <row r="1" spans="1:8" x14ac:dyDescent="0.25">
      <c r="A1" t="s">
        <v>215</v>
      </c>
      <c r="B1">
        <v>2</v>
      </c>
      <c r="C1">
        <v>4</v>
      </c>
      <c r="D1">
        <v>10</v>
      </c>
      <c r="E1">
        <f>B1*C1*D1</f>
        <v>80</v>
      </c>
      <c r="F1">
        <v>276</v>
      </c>
      <c r="G1">
        <v>70</v>
      </c>
      <c r="H1">
        <f>E1*F1*G1</f>
        <v>1545600</v>
      </c>
    </row>
    <row r="2" spans="1:8" x14ac:dyDescent="0.25">
      <c r="A2" t="s">
        <v>216</v>
      </c>
      <c r="B2">
        <v>6</v>
      </c>
      <c r="C2">
        <v>4</v>
      </c>
      <c r="D2">
        <v>10</v>
      </c>
      <c r="E2">
        <f t="shared" ref="E2:E3" si="0">B2*C2*D2</f>
        <v>240</v>
      </c>
      <c r="H2">
        <f t="shared" ref="H2:H3" si="1">E2*F2*G2</f>
        <v>0</v>
      </c>
    </row>
    <row r="3" spans="1:8" x14ac:dyDescent="0.25">
      <c r="A3" t="s">
        <v>215</v>
      </c>
      <c r="B3">
        <v>2</v>
      </c>
      <c r="C3">
        <v>4</v>
      </c>
      <c r="D3">
        <v>10</v>
      </c>
      <c r="E3">
        <f t="shared" si="0"/>
        <v>80</v>
      </c>
      <c r="H3">
        <f t="shared" si="1"/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13</vt:i4>
      </vt:variant>
    </vt:vector>
  </HeadingPairs>
  <TitlesOfParts>
    <vt:vector size="13" baseType="lpstr">
      <vt:lpstr>Parametreler</vt:lpstr>
      <vt:lpstr>Noktalar</vt:lpstr>
      <vt:lpstr>TediyeTahmini</vt:lpstr>
      <vt:lpstr>TahsilatTahmini</vt:lpstr>
      <vt:lpstr>Mesafeler</vt:lpstr>
      <vt:lpstr>SonuçlarÖzet</vt:lpstr>
      <vt:lpstr>SonuçlarDetay</vt:lpstr>
      <vt:lpstr>test1</vt:lpstr>
      <vt:lpstr>Routes</vt:lpstr>
      <vt:lpstr>Savings</vt:lpstr>
      <vt:lpstr>Losses</vt:lpstr>
      <vt:lpstr>Sonuçlar</vt:lpstr>
      <vt:lpstr>Sheet1</vt:lpstr>
    </vt:vector>
  </TitlesOfParts>
  <Company>IBM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Eray Cakici</dc:creator>
  <cp:lastModifiedBy>Mehmet Akın</cp:lastModifiedBy>
  <dcterms:created xsi:type="dcterms:W3CDTF">2014-10-16T09:56:04Z</dcterms:created>
  <dcterms:modified xsi:type="dcterms:W3CDTF">2015-03-11T22:47:14Z</dcterms:modified>
</cp:coreProperties>
</file>